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24226"/>
  <mc:AlternateContent xmlns:mc="http://schemas.openxmlformats.org/markup-compatibility/2006">
    <mc:Choice Requires="x15">
      <x15ac:absPath xmlns:x15ac="http://schemas.microsoft.com/office/spreadsheetml/2010/11/ac" url="/Users/tducrot/Downloads/"/>
    </mc:Choice>
  </mc:AlternateContent>
  <xr:revisionPtr revIDLastSave="0" documentId="13_ncr:1_{EE2E056D-4078-C34E-9F17-510C0DE168EC}" xr6:coauthVersionLast="47" xr6:coauthVersionMax="47" xr10:uidLastSave="{00000000-0000-0000-0000-000000000000}"/>
  <bookViews>
    <workbookView xWindow="0" yWindow="500" windowWidth="28800" windowHeight="18000" tabRatio="761" xr2:uid="{00000000-000D-0000-FFFF-FFFF00000000}"/>
  </bookViews>
  <sheets>
    <sheet name="quote" sheetId="58" r:id="rId1"/>
  </sheets>
  <definedNames>
    <definedName name="_______sdf1" hidden="1">{#N/A,#N/A,FALSE,"Synth";"parc_DC",#N/A,FALSE,"parc";#N/A,#N/A,FALSE,"CA prest";#N/A,#N/A,FALSE,"Ratio CA";#N/A,#N/A,FALSE,"Trafic";"CR_GSM_acté_DC",#N/A,FALSE,"CR GSM_acté";#N/A,#N/A,FALSE,"Abonnés";#N/A,#N/A,FALSE,"Créances";#N/A,#N/A,FALSE,"Effectifs"}</definedName>
    <definedName name="___a1" hidden="1">{"mgmt forecast",#N/A,FALSE,"Mgmt Forecast";"dcf table",#N/A,FALSE,"Mgmt Forecast";"sensitivity",#N/A,FALSE,"Mgmt Forecast";"table inputs",#N/A,FALSE,"Mgmt Forecast";"calculations",#N/A,FALSE,"Mgmt Forecast"}</definedName>
    <definedName name="__a1" hidden="1">{#N/A,#N/A,FALSE,"Synth";"parc_DC",#N/A,FALSE,"parc";#N/A,#N/A,FALSE,"CA prest";#N/A,#N/A,FALSE,"Ratio CA";#N/A,#N/A,FALSE,"Trafic";"CR_GSM_acté_DC",#N/A,FALSE,"CR GSM_acté";#N/A,#N/A,FALSE,"Abonnés";#N/A,#N/A,FALSE,"Créances";#N/A,#N/A,FALSE,"Effectifs"}</definedName>
    <definedName name="__bro1" hidden="1">{#N/A,#N/A,FALSE,"Synth";"parc_DC",#N/A,FALSE,"parc";#N/A,#N/A,FALSE,"CA prest";#N/A,#N/A,FALSE,"Ratio CA";#N/A,#N/A,FALSE,"Trafic";"CR_GSM_acté_DC",#N/A,FALSE,"CR GSM_acté";#N/A,#N/A,FALSE,"Abonnés";#N/A,#N/A,FALSE,"Créances";#N/A,#N/A,FALSE,"Effectifs"}</definedName>
    <definedName name="__bro2" hidden="1">{#N/A,#N/A,FALSE,"Créances";#N/A,#N/A,FALSE,"Effectifs";#N/A,#N/A,FALSE,"SI"}</definedName>
    <definedName name="__FDS_HYPERLINK_TOGGLE_STATE__" hidden="1">"ON"</definedName>
    <definedName name="__IntlFixup" hidden="1">TRUE</definedName>
    <definedName name="__IntlFixupTable" hidden="1">#REF!</definedName>
    <definedName name="__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_sn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_wk2" hidden="1">{#N/A,#N/A,FALSE,"INVOICED P-M";#N/A,#N/A,FALSE,"98 GESPREID"}</definedName>
    <definedName name="_10__123Graph_DCHART_2" hidden="1">#REF!</definedName>
    <definedName name="_11__123Graph_LBL_ACHART_1" hidden="1">#REF!</definedName>
    <definedName name="_12__123Graph_LBL_ACHART_2" hidden="1">#REF!</definedName>
    <definedName name="_13__123Graph_LBL_ACHART_3" hidden="1">#REF!</definedName>
    <definedName name="_14__123Graph_LBL_DCHART_1" hidden="1">#REF!</definedName>
    <definedName name="_15__123Graph_LBL_DCHART_2" hidden="1">#REF!</definedName>
    <definedName name="_16__123Graph_XCHART_2" hidden="1">#REF!</definedName>
    <definedName name="_3__123Graph_ACHART_1" hidden="1">#REF!</definedName>
    <definedName name="_4__123Graph_ACHART_2" hidden="1">#REF!</definedName>
    <definedName name="_5__123Graph_ACHART_3" hidden="1">#REF!</definedName>
    <definedName name="_6__123Graph_BCHART_1" hidden="1">#REF!</definedName>
    <definedName name="_7__123Graph_BCHART_2" hidden="1">#REF!</definedName>
    <definedName name="_8__123Graph_BCHART_3" hidden="1">#REF!</definedName>
    <definedName name="_9__123Graph_DCHART_1" hidden="1">#REF!</definedName>
    <definedName name="_a1" hidden="1">{#N/A,#N/A,FALSE,"Synth";"parc_DC",#N/A,FALSE,"parc";#N/A,#N/A,FALSE,"CA prest";#N/A,#N/A,FALSE,"Ratio CA";#N/A,#N/A,FALSE,"Trafic";"CR_GSM_acté_DC",#N/A,FALSE,"CR GSM_acté";#N/A,#N/A,FALSE,"Abonnés";#N/A,#N/A,FALSE,"Créances";#N/A,#N/A,FALSE,"Effectifs"}</definedName>
    <definedName name="_a2" hidden="1">{"mgmt forecast",#N/A,FALSE,"Mgmt Forecast";"dcf table",#N/A,FALSE,"Mgmt Forecast";"sensitivity",#N/A,FALSE,"Mgmt Forecast";"table inputs",#N/A,FALSE,"Mgmt Forecast";"calculations",#N/A,FALSE,"Mgmt Forecast"}</definedName>
    <definedName name="_as1" hidden="1">{"comp1",#N/A,FALSE,"COMPS";"footnotes",#N/A,FALSE,"COMPS"}</definedName>
    <definedName name="_bdm.945ec420f229478d843109db0de97858.edm" hidden="1">#REF!</definedName>
    <definedName name="_bdm.E85D301D529E4B7BAA5B60DE0299C9F4.edm" hidden="1">#REF!</definedName>
    <definedName name="_bro1" hidden="1">{#N/A,#N/A,FALSE,"Synth";"parc_DC",#N/A,FALSE,"parc";#N/A,#N/A,FALSE,"CA prest";#N/A,#N/A,FALSE,"Ratio CA";#N/A,#N/A,FALSE,"Trafic";"CR_GSM_acté_DC",#N/A,FALSE,"CR GSM_acté";#N/A,#N/A,FALSE,"Abonnés";#N/A,#N/A,FALSE,"Créances";#N/A,#N/A,FALSE,"Effectifs"}</definedName>
    <definedName name="_bro2" hidden="1">{#N/A,#N/A,FALSE,"Créances";#N/A,#N/A,FALSE,"Effectifs";#N/A,#N/A,FALSE,"SI"}</definedName>
    <definedName name="_DCF1" hidden="1">{#N/A,#N/A,FALSE,"Operations";#N/A,#N/A,FALSE,"Financials"}</definedName>
    <definedName name="_dfd1" hidden="1">{"comp1",#N/A,FALSE,"COMPS";"footnotes",#N/A,FALSE,"COMPS"}</definedName>
    <definedName name="_edp1" hidden="1">{"assumption 50 50",#N/A,TRUE,"Merger";"has gets cash",#N/A,TRUE,"Merger";"accretion dilution",#N/A,TRUE,"Merger";"comparison credit stats",#N/A,TRUE,"Merger";"pf credit stats",#N/A,TRUE,"Merger";"pf sheets",#N/A,TRUE,"Merger"}</definedName>
    <definedName name="_eyr1" hidden="1">{"hiden",#N/A,FALSE,"14";"hidden",#N/A,FALSE,"16";"hidden",#N/A,FALSE,"18";"hidden",#N/A,FALSE,"20"}</definedName>
    <definedName name="_f1" hidden="1">{"assumption cash",#N/A,TRUE,"Merger";"has gets cash",#N/A,TRUE,"Merger";"accretion dilution",#N/A,TRUE,"Merger";"comparison credit stats",#N/A,TRUE,"Merger";"pf credit stats",#N/A,TRUE,"Merger";"pf sheets",#N/A,TRUE,"Merger"}</definedName>
    <definedName name="_fds2" hidden="1">{"comps",#N/A,FALSE,"comps";"notes",#N/A,FALSE,"comps"}</definedName>
    <definedName name="_Fill" hidden="1">#REF!</definedName>
    <definedName name="_fill1" hidden="1">#REF!</definedName>
    <definedName name="_ggf1" hidden="1">{"comps",#N/A,FALSE,"comps";"notes",#N/A,FALSE,"comps"}</definedName>
    <definedName name="_GSRATES_1" hidden="1">"CF300001Latest  20000630"</definedName>
    <definedName name="_GSRATES_2" hidden="1">"CT300001Latest          "</definedName>
    <definedName name="_GSRATES_3" hidden="1">"CT300001Latest          "</definedName>
    <definedName name="_GSRATES_4" hidden="1">"CF3000012001092920010101"</definedName>
    <definedName name="_GSRATES_5" hidden="1">"CT30000120010929        "</definedName>
    <definedName name="_GSRATES_6" hidden="1">"CF3000012000093020000101"</definedName>
    <definedName name="_GSRATES_7" hidden="1">"CF3000012000093020000101"</definedName>
    <definedName name="_GSRATES_8" hidden="1">"CF3000012001092920010101"</definedName>
    <definedName name="_GSRATES_COUNT" hidden="1">1</definedName>
    <definedName name="_ik1" hidden="1">{"casespecific",#N/A,FALSE,"Assumptions"}</definedName>
    <definedName name="_Key1" hidden="1">#REF!</definedName>
    <definedName name="_kol1" hidden="1">{"away stand alones",#N/A,FALSE,"Target"}</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0" hidden="1">{#N/A,#N/A,FALSE,"Calc";#N/A,#N/A,FALSE,"Sensitivity";#N/A,#N/A,FALSE,"LT Earn.Dil.";#N/A,#N/A,FALSE,"Dil. AVP"}</definedName>
    <definedName name="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u1" hidden="1">{"equity comps",#N/A,FALSE,"CS Comps";"equity comps",#N/A,FALSE,"PS Comps";"equity comps",#N/A,FALSE,"GIC_Comps";"equity comps",#N/A,FALSE,"GIC2_Comps";"debt comps",#N/A,FALSE,"CS Comps";"debt comps",#N/A,FALSE,"PS Comps";"debt comps",#N/A,FALSE,"GIC_Comps";"debt comps",#N/A,FALSE,"GIC2_Comps"}</definedName>
    <definedName name="_Order1" hidden="1">255</definedName>
    <definedName name="_Order2" hidden="1">0</definedName>
    <definedName name="_po1" hidden="1">{#N/A,#N/A,FALSE,"Calc";#N/A,#N/A,FALSE,"Sensitivity";#N/A,#N/A,FALSE,"LT Earn.Dil.";#N/A,#N/A,FALSE,"Dil. AVP"}</definedName>
    <definedName name="_poi1" hidden="1">{"assumption 50 50",#N/A,TRUE,"Merger";"has gets cash",#N/A,TRUE,"Merger";"accretion dilution",#N/A,TRUE,"Merger";"comparison credit stats",#N/A,TRUE,"Merger";"pf credit stats",#N/A,TRUE,"Merger";"pf sheets",#N/A,TRUE,"Merger"}</definedName>
    <definedName name="_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Regression_Int" hidden="1">1</definedName>
    <definedName name="_Regression_Out" hidden="1">#REF!</definedName>
    <definedName name="_Regression_X" hidden="1">#REF!</definedName>
    <definedName name="_Regression_Y" hidden="1">#REF!</definedName>
    <definedName name="_rty1" hidden="1">{#N/A,#N/A,TRUE,"Pro Forma";#N/A,#N/A,TRUE,"PF_Bal";#N/A,#N/A,TRUE,"PF_INC";#N/A,#N/A,TRUE,"CBE";#N/A,#N/A,TRUE,"SWK"}</definedName>
    <definedName name="_sdf1" hidden="1">{#N/A,#N/A,FALSE,"Synth";"parc_DC",#N/A,FALSE,"parc";#N/A,#N/A,FALSE,"CA prest";#N/A,#N/A,FALSE,"Ratio CA";#N/A,#N/A,FALSE,"Trafic";"CR_GSM_acté_DC",#N/A,FALSE,"CR GSM_acté";#N/A,#N/A,FALSE,"Abonnés";#N/A,#N/A,FALSE,"Créances";#N/A,#N/A,FALSE,"Effectifs"}</definedName>
    <definedName name="_sn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Sort" hidden="1">#REF!</definedName>
    <definedName name="_Table2_In1" hidden="1">#REF!</definedName>
    <definedName name="_Table2_In2" hidden="1">#REF!</definedName>
    <definedName name="_Table2_Out" hidden="1">#REF!</definedName>
    <definedName name="_UNDO_UPS_" hidden="1">#REF!</definedName>
    <definedName name="_UNDO_UPS_SEL_" hidden="1">#REF!</definedName>
    <definedName name="_UNDO31X31X_" hidden="1">#REF!</definedName>
    <definedName name="_wk2" hidden="1">{#N/A,#N/A,FALSE,"INVOICED P-M";#N/A,#N/A,FALSE,"98 GESPREID"}</definedName>
    <definedName name="_wrn2" hidden="1">{"casespecific",#N/A,FALSE,"Assumptions"}</definedName>
    <definedName name="_wrn3" hidden="1">{"comps",#N/A,FALSE,"comps";"notes",#N/A,FALSE,"comps"}</definedName>
    <definedName name="_wrn4" hidden="1">{"general",#N/A,FALSE,"Assumptions"}</definedName>
    <definedName name="a" hidden="1">{#N/A,#N/A,FALSE,"Synth";"parc_DC",#N/A,FALSE,"parc";#N/A,#N/A,FALSE,"CA prest";#N/A,#N/A,FALSE,"Ratio CA";#N/A,#N/A,FALSE,"Trafic";"CR_GSM_acté_DC",#N/A,FALSE,"CR GSM_acté";#N/A,#N/A,FALSE,"Abonnés";#N/A,#N/A,FALSE,"Créances";#N/A,#N/A,FALSE,"Effectifs"}</definedName>
    <definedName name="a1a" hidden="1">{#N/A,#N/A,FALSE,"Synth";"parc_DC",#N/A,FALSE,"parc";#N/A,#N/A,FALSE,"CA prest";#N/A,#N/A,FALSE,"Ratio CA";#N/A,#N/A,FALSE,"Trafic";"CR_GSM_acté_DC",#N/A,FALSE,"CR GSM_acté";#N/A,#N/A,FALSE,"Abonnés";#N/A,#N/A,FALSE,"Créances";#N/A,#N/A,FALSE,"Effectifs"}</definedName>
    <definedName name="aa" hidden="1">{"COST",#N/A,FALSE,"SYNTHESE";"MARGIN",#N/A,FALSE,"SYNTHESE";"LOT_COM",#N/A,FALSE,"SYNTHESE"}</definedName>
    <definedName name="aaa" hidden="1">{#N/A,#N/A,TRUE,"financial";#N/A,#N/A,TRUE,"plants"}</definedName>
    <definedName name="AAA_DOCTOPS" hidden="1">"AAA_SET"</definedName>
    <definedName name="AAA_duser" hidden="1">"OFF"</definedName>
    <definedName name="aaaa" hidden="1">{#N/A,#N/A,FALSE,"Synth";"parc_DC",#N/A,FALSE,"parc";#N/A,#N/A,FALSE,"CA prest";#N/A,#N/A,FALSE,"Ratio CA";#N/A,#N/A,FALSE,"Trafic";"CR_GSM_acté_DC",#N/A,FALSE,"CR GSM_acté";#N/A,#N/A,FALSE,"Abonnés";#N/A,#N/A,FALSE,"Créances";#N/A,#N/A,FALSE,"Effectifs"}</definedName>
    <definedName name="AAAA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aaaaa" hidden="1">{#N/A,#N/A,FALSE,"Synth";"parc_DC",#N/A,FALSE,"parc";#N/A,#N/A,FALSE,"CA prest";#N/A,#N/A,FALSE,"Ratio CA";#N/A,#N/A,FALSE,"Trafic";"CR_GSM_acté_DC",#N/A,FALSE,"CR GSM_acté";#N/A,#N/A,FALSE,"Abonnés";#N/A,#N/A,FALSE,"Créances";#N/A,#N/A,FALSE,"Effectifs"}</definedName>
    <definedName name="aaaaaaa" hidden="1">{#N/A,#N/A,FALSE,"Synth";"parc_DC",#N/A,FALSE,"parc";#N/A,#N/A,FALSE,"CA prest";#N/A,#N/A,FALSE,"Ratio CA";#N/A,#N/A,FALSE,"Trafic";"CR_GSM_acté_DC",#N/A,FALSE,"CR GSM_acté";#N/A,#N/A,FALSE,"Abonnés";#N/A,#N/A,FALSE,"Créances";#N/A,#N/A,FALSE,"Effectifs"}</definedName>
    <definedName name="aaaaaaaa" hidden="1">{#N/A,#N/A,FALSE,"Synth";"parc_DC",#N/A,FALSE,"parc";#N/A,#N/A,FALSE,"CA prest";#N/A,#N/A,FALSE,"Ratio CA";#N/A,#N/A,FALSE,"Trafic";"CR_GSM_acté_DC",#N/A,FALSE,"CR GSM_acté";#N/A,#N/A,FALSE,"Abonnés";#N/A,#N/A,FALSE,"Créances";#N/A,#N/A,FALSE,"Effectifs"}</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hidden="1">{#N/A,#N/A,FALSE,"Synth";"parc_DC",#N/A,FALSE,"parc";#N/A,#N/A,FALSE,"CA prest";#N/A,#N/A,FALSE,"Ratio CA";#N/A,#N/A,FALSE,"Trafic";"CR_GSM_acté_DC",#N/A,FALSE,"CR GSM_acté";#N/A,#N/A,FALSE,"Abonnés";#N/A,#N/A,FALSE,"Créances";#N/A,#N/A,FALSE,"Effectifs"}</definedName>
    <definedName name="abc" hidden="1">{"up stand alones",#N/A,FALSE,"Acquiror"}</definedName>
    <definedName name="abcd" hidden="1">{#N/A,#N/A,FALSE,"CHANGES";#N/A,#N/A,FALSE,"PROD SUMMARY";#N/A,#N/A,FALSE,"1995 PO SUM";#N/A,#N/A,FALSE,"1995 GEOG SUM";#N/A,#N/A,FALSE,"1996 PO SUM";#N/A,#N/A,FALSE,"1996 GEOG SUM"}</definedName>
    <definedName name="ABRACADABRA" hidden="1">#REF!</definedName>
    <definedName name="ac" hidden="1">{#N/A,#N/A,TRUE,"Pro Forma";#N/A,#N/A,TRUE,"PF_Bal";#N/A,#N/A,TRUE,"PF_INC";#N/A,#N/A,TRUE,"CBE";#N/A,#N/A,TRUE,"SWK"}</definedName>
    <definedName name="addg" hidden="1">{#N/A,#N/A,FALSE,"CBE";#N/A,#N/A,FALSE,"SWK"}</definedName>
    <definedName name="addg1" hidden="1">{#N/A,#N/A,FALSE,"CBE";#N/A,#N/A,FALSE,"SWK"}</definedName>
    <definedName name="ADETRUIRE" hidden="1">{#N/A,#N/A,TRUE,"Forecast &amp; Analysis";#N/A,#N/A,TRUE,"Market Values";#N/A,#N/A,TRUE,"Ratios";#N/A,#N/A,TRUE,"Regressions";#N/A,#N/A,TRUE,"Market Values";#N/A,#N/A,TRUE,"Parameters &amp; Results"}</definedName>
    <definedName name="adf" hidden="1">{#N/A,#N/A,FALSE,"CHANGES";#N/A,#N/A,FALSE,"PROD SUMMARY";#N/A,#N/A,FALSE,"1995 PO SUM";#N/A,#N/A,FALSE,"1995 GEOG SUM";#N/A,#N/A,FALSE,"1996 PO SUM";#N/A,#N/A,FALSE,"1996 GEOG SUM"}</definedName>
    <definedName name="ads" hidden="1">{#N/A,#N/A,FALSE,"Calc";#N/A,#N/A,FALSE,"Sensitivity";#N/A,#N/A,FALSE,"LT Earn.Dil.";#N/A,#N/A,FALSE,"Dil. AVP"}</definedName>
    <definedName name="ae" hidden="1">{#N/A,#N/A,FALSE,"Calc";#N/A,#N/A,FALSE,"Sensitivity";#N/A,#N/A,FALSE,"LT Earn.Dil.";#N/A,#N/A,FALSE,"Dil. AVP"}</definedName>
    <definedName name="AEFGEGFV"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eze" hidden="1">{#N/A,#N/A,FALSE,"Calc";#N/A,#N/A,FALSE,"Sensitivity";#N/A,#N/A,FALSE,"LT Earn.Dil.";#N/A,#N/A,FALSE,"Dil. AVP"}</definedName>
    <definedName name="Ajax" hidden="1">{#N/A,#N/A,TRUE,"Pro Forma";#N/A,#N/A,TRUE,"PF_Bal";#N/A,#N/A,TRUE,"PF_INC";#N/A,#N/A,TRUE,"CBE";#N/A,#N/A,TRUE,"SWK"}</definedName>
    <definedName name="alpha" hidden="1">{#N/A,#N/A,FALSE,"CHANGES";#N/A,#N/A,FALSE,"PROD SUMMARY";#N/A,#N/A,FALSE,"1995 PO SUM";#N/A,#N/A,FALSE,"1995 GEOG SUM";#N/A,#N/A,FALSE,"1996 PO SUM";#N/A,#N/A,FALSE,"1996 GEOG SUM"}</definedName>
    <definedName name="Ameesh" hidden="1">{#N/A,#N/A,TRUE,"Pro Forma";#N/A,#N/A,TRUE,"PF_Bal";#N/A,#N/A,TRUE,"PF_INC";#N/A,#N/A,TRUE,"CBE";#N/A,#N/A,TRUE,"SWK"}</definedName>
    <definedName name="anna" hidden="1">{"Area1",#N/A,TRUE,"Obiettivo";"Area2",#N/A,TRUE,"Dati per Direzione"}</definedName>
    <definedName name="anscount" hidden="1">1</definedName>
    <definedName name="ape"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q" hidden="1">{0,0,0,0;0,0,0,0;0,0,0,0;0,0,0,0;0,0,0,0;0,0,0,0;0,0,-14,-20;-13,-17,-14,-6;-10,-20,-10,0}</definedName>
    <definedName name="AQX" hidden="1">{#N/A,#N/A,FALSE,"Operations";#N/A,#N/A,FALSE,"Financials"}</definedName>
    <definedName name="arnaud" hidden="1">{#N/A,#N/A,FALSE,"Synth";"parc_DC",#N/A,FALSE,"parc";#N/A,#N/A,FALSE,"CA prest";#N/A,#N/A,FALSE,"Ratio CA";#N/A,#N/A,FALSE,"Trafic";"CR_GSM_acté_DC",#N/A,FALSE,"CR GSM_acté";#N/A,#N/A,FALSE,"Abonnés";#N/A,#N/A,FALSE,"Créances";#N/A,#N/A,FALSE,"Effectifs"}</definedName>
    <definedName name="art" hidden="1">{"First Page",#N/A,FALSE,"Surfactants LBO";"Second Page",#N/A,FALSE,"Surfactants LBO"}</definedName>
    <definedName name="Artems" hidden="1">{"First Page",#N/A,FALSE,"Surfactants LBO";"Second Page",#N/A,FALSE,"Surfactants LBO"}</definedName>
    <definedName name="Artic" hidden="1">{"First Page",#N/A,FALSE,"Surfactants LBO";"Second Page",#N/A,FALSE,"Surfactants LBO"}</definedName>
    <definedName name="as" hidden="1">{"comp1",#N/A,FALSE,"COMPS";"footnotes",#N/A,FALSE,"COMPS"}</definedName>
    <definedName name="AS2DocOpenMode" hidden="1">"AS2DocumentEdit"</definedName>
    <definedName name="asad" hidden="1">{"away stand alones",#N/A,FALSE,"Target"}</definedName>
    <definedName name="asd" hidden="1">{"1999Corporate",#N/A,FALSE,"Corporate"}</definedName>
    <definedName name="asdf" hidden="1">{#N/A,#N/A,FALSE,"Calc";#N/A,#N/A,FALSE,"Sensitivity";#N/A,#N/A,FALSE,"LT Earn.Dil.";#N/A,#N/A,FALSE,"Dil. AVP"}</definedName>
    <definedName name="asdfas" hidden="1">{"comp1",#N/A,FALSE,"COMPS";"footnotes",#N/A,FALSE,"COMPS"}</definedName>
    <definedName name="asdfasdf" hidden="1">{#N/A,#N/A,FALSE,"CBE";#N/A,#N/A,FALSE,"SWK"}</definedName>
    <definedName name="asdfasdfasdf" hidden="1">{"comp1",#N/A,FALSE,"COMPS";"footnotes",#N/A,FALSE,"COMPS"}</definedName>
    <definedName name="asdfasdfsad" hidden="1">{#N/A,#N/A,FALSE,"output";#N/A,#N/A,FALSE,"contrib";#N/A,#N/A,FALSE,"profile";#N/A,#N/A,FALSE,"comps"}</definedName>
    <definedName name="asdff" hidden="1">{#N/A,#N/A,FALSE,"CHANGES";#N/A,#N/A,FALSE,"PROD SUMMARY";#N/A,#N/A,FALSE,"1995 PO SUM";#N/A,#N/A,FALSE,"1995 GEOG SUM";#N/A,#N/A,FALSE,"1996 PO SUM";#N/A,#N/A,FALSE,"1996 GEOG SUM"}</definedName>
    <definedName name="asdfga" hidden="1">{#N/A,#N/A,FALSE,"Objectives"}</definedName>
    <definedName name="asdt1" hidden="1">{#N/A,#N/A,FALSE,"Calc";#N/A,#N/A,FALSE,"Sensitivity";#N/A,#N/A,FALSE,"LT Earn.Dil.";#N/A,#N/A,FALSE,"Dil. AVP"}</definedName>
    <definedName name="AT" hidden="1">{"QTRLYHTUK",#N/A,FALSE,"HTUK"}</definedName>
    <definedName name="avdd" hidden="1">{#N/A,#N/A,FALSE,"Calc";#N/A,#N/A,FALSE,"Sensitivity";#N/A,#N/A,FALSE,"LT Earn.Dil.";#N/A,#N/A,FALSE,"Dil. AVP"}</definedName>
    <definedName name="azertbnnyikèikl_èikl" hidden="1">{#N/A,#N/A,FALSE,"Calc";#N/A,#N/A,FALSE,"Sensitivity";#N/A,#N/A,FALSE,"LT Earn.Dil.";#N/A,#N/A,FALSE,"Dil. AVP"}</definedName>
    <definedName name="AZEZAEAZE"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ZEZEAZE"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zrr" hidden="1">{"comps",#N/A,FALSE,"comps";"notes",#N/A,FALSE,"comps"}</definedName>
    <definedName name="B" hidden="1">{#N/A,#N/A,FALSE,"Synth";"parc_DC",#N/A,FALSE,"parc";#N/A,#N/A,FALSE,"CA prest";#N/A,#N/A,FALSE,"Ratio CA";#N/A,#N/A,FALSE,"Trafic";"CR_GSM_acté_DC",#N/A,FALSE,"CR GSM_acté";#N/A,#N/A,FALSE,"Abonnés";#N/A,#N/A,FALSE,"Créances";#N/A,#N/A,FALSE,"Effectifs"}</definedName>
    <definedName name="bb" hidden="1">{#N/A,#N/A,TRUE,"Pro Forma";#N/A,#N/A,TRUE,"PF_Bal";#N/A,#N/A,TRUE,"PF_INC";#N/A,#N/A,TRUE,"CBE";#N/A,#N/A,TRUE,"SWK"}</definedName>
    <definedName name="bbb" hidden="1">{#N/A,#N/A,FALSE,"Synth";"parc_DC",#N/A,FALSE,"parc";#N/A,#N/A,FALSE,"CA prest";#N/A,#N/A,FALSE,"Ratio CA";#N/A,#N/A,FALSE,"Trafic";"CR_GSM_acté_DC",#N/A,FALSE,"CR GSM_acté";#N/A,#N/A,FALSE,"Abonnés";#N/A,#N/A,FALSE,"Créances";#N/A,#N/A,FALSE,"Effectifs"}</definedName>
    <definedName name="BETA" hidden="1">{#N/A,#N/A,FALSE,"CHANGES";#N/A,#N/A,FALSE,"PROD SUMMARY";#N/A,#N/A,FALSE,"1995 PO SUM";#N/A,#N/A,FALSE,"1995 GEOG SUM";#N/A,#N/A,FALSE,"1996 PO SUM";#N/A,#N/A,FALSE,"1996 GEOG SUM"}</definedName>
    <definedName name="BG" hidden="1">{#N/A,#N/A,TRUE,"Cover sheet";#N/A,#N/A,TRUE,"DCF analysis";#N/A,#N/A,TRUE,"WACC calculation"}</definedName>
    <definedName name="bgbg" hidden="1">{"comps2_1",#N/A,FALSE,"Comps2";"comps2_2",#N/A,FALSE,"Comps2";"comps2_3",#N/A,FALSE,"Comps2";"comps2_4",#N/A,FALSE,"Comps2";"comps2_5",#N/A,FALSE,"Comps2"}</definedName>
    <definedName name="bgbgf" hidden="1">{"DCF",#N/A,FALSE,"DCF"}</definedName>
    <definedName name="BGHHJ" hidden="1">{#N/A,#N/A,FALSE,"Calc";#N/A,#N/A,FALSE,"Sensitivity";#N/A,#N/A,FALSE,"LT Earn.Dil.";#N/A,#N/A,FALSE,"Dil. AVP"}</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9" hidden="1">#REF!</definedName>
    <definedName name="bnkj" hidden="1">{#N/A,#N/A,FALSE,"output";#N/A,#N/A,FALSE,"contrib";#N/A,#N/A,FALSE,"profile";#N/A,#N/A,FALSE,"comps"}</definedName>
    <definedName name="bnkj1" hidden="1">{#N/A,#N/A,FALSE,"output";#N/A,#N/A,FALSE,"contrib";#N/A,#N/A,FALSE,"profile";#N/A,#N/A,FALSE,"comps"}</definedName>
    <definedName name="bnnn" hidden="1">{"consolidated",#N/A,FALSE,"Sheet1";"cms",#N/A,FALSE,"Sheet1";"fse",#N/A,FALSE,"Sheet1"}</definedName>
    <definedName name="bro" hidden="1">{#N/A,#N/A,FALSE,"Synth";"parc_DC",#N/A,FALSE,"parc";#N/A,#N/A,FALSE,"CA prest";#N/A,#N/A,FALSE,"Ratio CA";#N/A,#N/A,FALSE,"Trafic";"CR_GSM_acté_DC",#N/A,FALSE,"CR GSM_acté";#N/A,#N/A,FALSE,"Abonnés";#N/A,#N/A,FALSE,"Créances";#N/A,#N/A,FALSE,"Effectifs"}</definedName>
    <definedName name="brol" hidden="1">{#N/A,#N/A,FALSE,"Synth";"parc_DC",#N/A,FALSE,"parc";#N/A,#N/A,FALSE,"CA prest";#N/A,#N/A,FALSE,"Ratio CA";#N/A,#N/A,FALSE,"Trafic";"CR_GSM_acté_DC",#N/A,FALSE,"CR GSM_acté";#N/A,#N/A,FALSE,"Abonnés";#N/A,#N/A,FALSE,"Créances";#N/A,#N/A,FALSE,"Effectifs"}</definedName>
    <definedName name="bvfb" hidden="1">{"All",#N/A,FALSE,"Admin";"G only",#N/A,FALSE,"Admin";"No G",#N/A,FALSE,"Admin"}</definedName>
    <definedName name="Cable" hidden="1">{#N/A,#N/A,FALSE,"Operations";#N/A,#N/A,FALSE,"Financials"}</definedName>
    <definedName name="Cable2" hidden="1">{#N/A,#N/A,FALSE,"Operations";#N/A,#N/A,FALSE,"Financials"}</definedName>
    <definedName name="cb_sChart41E9A35_opts" hidden="1">"1, 9, 1, False, 2, False, False, , 0, False, True, 1, 1"</definedName>
    <definedName name="cc" hidden="1">{#N/A,#N/A,FALSE,"CBE";#N/A,#N/A,FALSE,"SWK"}</definedName>
    <definedName name="cccc" hidden="1">{#N/A,#N/A,FALSE,"Operations";#N/A,#N/A,FALSE,"Financials"}</definedName>
    <definedName name="ccccc" hidden="1">{"10yp key data",#N/A,FALSE,"Market Data"}</definedName>
    <definedName name="cccccccccccccc" hidden="1">{#N/A,#N/A,FALSE,"Operations";#N/A,#N/A,FALSE,"Financials"}</definedName>
    <definedName name="comm2" hidden="1">{#N/A,#N/A,FALSE,"Synth";"parc_DC",#N/A,FALSE,"parc";#N/A,#N/A,FALSE,"CA prest";#N/A,#N/A,FALSE,"Ratio CA";#N/A,#N/A,FALSE,"Trafic";"CR_GSM_acté_DC",#N/A,FALSE,"CR GSM_acté";#N/A,#N/A,FALSE,"Abonnés";#N/A,#N/A,FALSE,"Créances";#N/A,#N/A,FALSE,"Effectifs"}</definedName>
    <definedName name="comm3" hidden="1">{#N/A,#N/A,FALSE,"Créances";#N/A,#N/A,FALSE,"Effectifs";#N/A,#N/A,FALSE,"SI"}</definedName>
    <definedName name="comments" hidden="1">{#N/A,#N/A,FALSE,"Synth";"parc_DC",#N/A,FALSE,"parc";#N/A,#N/A,FALSE,"CA prest";#N/A,#N/A,FALSE,"Ratio CA";#N/A,#N/A,FALSE,"Trafic";"CR_GSM_acté_DC",#N/A,FALSE,"CR GSM_acté";#N/A,#N/A,FALSE,"Abonnés";#N/A,#N/A,FALSE,"Créances";#N/A,#N/A,FALSE,"Effectifs"}</definedName>
    <definedName name="Comp" hidden="1">{"First Page",#N/A,FALSE,"Surfactants LBO";"Second Page",#N/A,FALSE,"Surfactants LBO"}</definedName>
    <definedName name="Comparable" hidden="1">{"First Page",#N/A,FALSE,"Surfactants LBO";"Second Page",#N/A,FALSE,"Surfactants LBO"}</definedName>
    <definedName name="comparaison" hidden="1">{"First Page",#N/A,FALSE,"Surfactants LBO";"Second Page",#N/A,FALSE,"Surfactants LBO"}</definedName>
    <definedName name="cooper2" hidden="1">{#N/A,#N/A,TRUE,"Pro Forma";#N/A,#N/A,TRUE,"PF_Bal";#N/A,#N/A,TRUE,"PF_INC";#N/A,#N/A,TRUE,"CBE";#N/A,#N/A,TRUE,"SWK"}</definedName>
    <definedName name="cop" hidden="1">{"First Page",#N/A,FALSE,"Surfactants LBO";"Second Page",#N/A,FALSE,"Surfactants LBO"}</definedName>
    <definedName name="copy1" hidden="1">{#N/A,#N/A,TRUE,"Pro Forma";#N/A,#N/A,TRUE,"PF_Bal";#N/A,#N/A,TRUE,"PF_INC";#N/A,#N/A,TRUE,"CBE";#N/A,#N/A,TRUE,"SWK"}</definedName>
    <definedName name="copy2" hidden="1">{#N/A,#N/A,TRUE,"financial";#N/A,#N/A,TRUE,"plants"}</definedName>
    <definedName name="copy3" hidden="1">{#N/A,#N/A,TRUE,"Pro Forma";#N/A,#N/A,TRUE,"PF_Bal";#N/A,#N/A,TRUE,"PF_INC";#N/A,#N/A,TRUE,"CBE";#N/A,#N/A,TRUE,"SWK"}</definedName>
    <definedName name="coucou" hidden="1">{#N/A,#N/A,TRUE,"Cover sheet";#N/A,#N/A,TRUE,"INPUTS";#N/A,#N/A,TRUE,"OUTPUTS";#N/A,#N/A,TRUE,"VALUATION"}</definedName>
    <definedName name="CSDCDS" hidden="1">#REF!</definedName>
    <definedName name="csf" hidden="1">{#N/A,#N/A,FALSE,"Synth";"parc_DC",#N/A,FALSE,"parc";#N/A,#N/A,FALSE,"CA prest";#N/A,#N/A,FALSE,"Ratio CA";#N/A,#N/A,FALSE,"Trafic";"CR_GSM_acté_DC",#N/A,FALSE,"CR GSM_acté";#N/A,#N/A,FALSE,"Abonnés";#N/A,#N/A,FALSE,"Créances";#N/A,#N/A,FALSE,"Effectifs"}</definedName>
    <definedName name="cvb" hidden="1">{#N/A,#N/A,FALSE,"Operations";#N/A,#N/A,FALSE,"Financials"}</definedName>
    <definedName name="cvbncvnvbn" hidden="1">{#N/A,#N/A,FALSE,"Operations";#N/A,#N/A,FALSE,"Financials"}</definedName>
    <definedName name="CVNCVNBVN" hidden="1">{"comp1",#N/A,FALSE,"COMPS";"footnotes",#N/A,FALSE,"COMPS"}</definedName>
    <definedName name="CVz" hidden="1">#REF!</definedName>
    <definedName name="cxvbvcxb" hidden="1">#REF!</definedName>
    <definedName name="d" hidden="1">{#N/A,#N/A,FALSE,"Créances";#N/A,#N/A,FALSE,"Effectifs";#N/A,#N/A,FALSE,"SI"}</definedName>
    <definedName name="DateFormat" hidden="1">"LongDate"</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d" hidden="1">{#N/A,#N/A,FALSE,"Créances";#N/A,#N/A,FALSE,"Effectifs";#N/A,#N/A,FALSE,"SI"}</definedName>
    <definedName name="ddddd" hidden="1">{"10yp tariffs",#N/A,FALSE,"Celtel alternative 6"}</definedName>
    <definedName name="dddddd" hidden="1">{"10yp profit and loss",#N/A,FALSE,"Celtel alternative 6"}</definedName>
    <definedName name="ddddddd" hidden="1">{#N/A,#N/A,FALSE,"Synth";#N/A,#N/A,FALSE,"concu";"parc_global",#N/A,FALSE,"parc";#N/A,#N/A,FALSE,"CA prest";#N/A,#N/A,FALSE,"Ratio CA";#N/A,#N/A,FALSE,"Trafic";#N/A,#N/A,FALSE,"CR GSM_acté";#N/A,#N/A,FALSE,"Réseaux";#N/A,#N/A,FALSE,"Abonnés";#N/A,#N/A,FALSE,"Créances";#N/A,#N/A,FALSE,"Effectifs";#N/A,#N/A,FALSE,"SI";#N/A,#N/A,FALSE,"R2000";#N/A,#N/A,FALSE,"BIBOP"}</definedName>
    <definedName name="de" hidden="1">{"Balance sheet",#N/A,TRUE,"DB1_format"}</definedName>
    <definedName name="dede" hidden="1">{#N/A,#N/A,TRUE,"financial";#N/A,#N/A,TRUE,"plants"}</definedName>
    <definedName name="deg" hidden="1">{"First Page",#N/A,FALSE,"Surfactants LBO";"Second Page",#N/A,FALSE,"Surfactants LBO"}</definedName>
    <definedName name="deiujh" hidden="1">{"QTRLYCorporate",#N/A,FALSE,"Corporate"}</definedName>
    <definedName name="df" hidden="1">{"All",#N/A,FALSE,"Admin";"G only",#N/A,FALSE,"Admin";"No G",#N/A,FALSE,"Admin"}</definedName>
    <definedName name="dfas" hidden="1">{#N/A,#N/A,FALSE,"Globtel";#N/A,#N/A,FALSE,"Globtel"}</definedName>
    <definedName name="dfd" hidden="1">{"comp1",#N/A,FALSE,"COMPS";"footnotes",#N/A,FALSE,"COMPS"}</definedName>
    <definedName name="dfdfdf"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FFDG" hidden="1">#REF!</definedName>
    <definedName name="dfg" hidden="1">{"1999GrpAdj",#N/A,FALSE,"Grp Adj"}</definedName>
    <definedName name="dfgd" hidden="1">{"subs",#N/A,FALSE,"database ";"proportional",#N/A,FALSE,"database "}</definedName>
    <definedName name="dfgt" hidden="1">{"1999HTUK",#N/A,FALSE,"HTUK"}</definedName>
    <definedName name="dfh" hidden="1">{"2000GrpConsol",#N/A,FALSE,"Grp Consol"}</definedName>
    <definedName name="DFHFDHFDH" hidden="1">{#N/A,#N/A,FALSE,"Operations";#N/A,#N/A,FALSE,"Financials"}</definedName>
    <definedName name="dfhfh" hidden="1">#REF!</definedName>
    <definedName name="dfsh" hidden="1">{"2000GrpAdj",#N/A,FALSE,"Grp Adj"}</definedName>
    <definedName name="dg" hidden="1">{"1999Corporate",#N/A,FALSE,"Corporate"}</definedName>
    <definedName name="dgdfgdgfdg" hidden="1">{"hiden",#N/A,FALSE,"14";"hidden",#N/A,FALSE,"16";"hidden",#N/A,FALSE,"18";"hidden",#N/A,FALSE,"20"}</definedName>
    <definedName name="dgdfgfd" hidden="1">{"up stand alones",#N/A,FALSE,"Acquiror"}</definedName>
    <definedName name="dgdg" hidden="1">{#N/A,#N/A,FALSE,"Calc";#N/A,#N/A,FALSE,"Sensitivity";#N/A,#N/A,FALSE,"LT Earn.Dil.";#N/A,#N/A,FALSE,"Dil. AVP"}</definedName>
    <definedName name="dgdgdfg" hidden="1">{"away stand alones",#N/A,FALSE,"Target"}</definedName>
    <definedName name="dgdgdgfd" hidden="1">{#N/A,#N/A,FALSE,"Operations";#N/A,#N/A,FALSE,"Financials"}</definedName>
    <definedName name="dgdgdgfdg" hidden="1">{"assumption 50 50",#N/A,TRUE,"Merger";"has gets cash",#N/A,TRUE,"Merger";"accretion dilution",#N/A,TRUE,"Merger";"comparison credit stats",#N/A,TRUE,"Merger";"pf credit stats",#N/A,TRUE,"Merger";"pf sheets",#N/A,TRUE,"Merger"}</definedName>
    <definedName name="dgdgfd" hidden="1">{"assumption 50 50",#N/A,TRUE,"Merger";"has gets cash",#N/A,TRUE,"Merger";"accretion dilution",#N/A,TRUE,"Merger";"comparison credit stats",#N/A,TRUE,"Merger";"pf credit stats",#N/A,TRUE,"Merger";"pf sheets",#N/A,TRUE,"Merger"}</definedName>
    <definedName name="dgdgfdgfdgfd" hidden="1">{"assumption cash",#N/A,TRUE,"Merger";"has gets cash",#N/A,TRUE,"Merger";"accretion dilution",#N/A,TRUE,"Merger";"comparison credit stats",#N/A,TRUE,"Merger";"pf credit stats",#N/A,TRUE,"Merger";"pf sheets",#N/A,TRUE,"Merger"}</definedName>
    <definedName name="dgdgss" hidden="1">{"consolidated",#N/A,FALSE,"Sheet1";"cms",#N/A,FALSE,"Sheet1";"fse",#N/A,FALSE,"Sheet1"}</definedName>
    <definedName name="dgdsgdsg" hidden="1">{"comps2",#N/A,FALSE,"AERO";"footnotes",#N/A,FALSE,"AERO"}</definedName>
    <definedName name="dgfdgfdg" hidden="1">{#N/A,#N/A,FALSE,"Calc";#N/A,#N/A,FALSE,"Sensitivity";#N/A,#N/A,FALSE,"LT Earn.Dil.";#N/A,#N/A,FALSE,"Dil. AVP"}</definedName>
    <definedName name="dgndhgn" hidden="1">#REF!</definedName>
    <definedName name="dhgndn" hidden="1">#REF!</definedName>
    <definedName name="Diable" hidden="1">{#N/A,#N/A,FALSE,"Operations";#N/A,#N/A,FALSE,"Financials"}</definedName>
    <definedName name="do" hidden="1">{"Balance sheet",#N/A,TRUE,"DB1_format"}</definedName>
    <definedName name="dont_know" hidden="1">{"Balance sheet",#N/A,TRUE,"DB1_format"}</definedName>
    <definedName name="down" hidden="1">{#N/A,#N/A,FALSE,"Umsatz";#N/A,#N/A,FALSE,"Base V.02";#N/A,#N/A,FALSE,"Charts"}</definedName>
    <definedName name="drak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sfsdfdsfg"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sg" hidden="1">{#N/A,#N/A,FALSE,"Calc";#N/A,#N/A,FALSE,"Sensitivity";#N/A,#N/A,FALSE,"LT Earn.Dil.";#N/A,#N/A,FALSE,"Dil. AVP"}</definedName>
    <definedName name="dsges" hidden="1">{"First Page",#N/A,FALSE,"Surfactants LBO";"Second Page",#N/A,FALSE,"Surfactants LBO"}</definedName>
    <definedName name="dsggd" hidden="1">{#N/A,#N/A,FALSE,"Cover";"Short outputs",#N/A,FALSE,"Outputs";#N/A,#N/A,FALSE,"Control (In)";"tesco summary",#N/A,FALSE,"Tesco";"Outputs and Co summaries",#N/A,FALSE,"Sainsbury";"Outputs and Co Summaries",#N/A,FALSE,"Carrefour";"Outputs and Co summaries",#N/A,FALSE,"Co D";"Outputs and Co summaries",#N/A,FALSE,"Co E"}</definedName>
    <definedName name="dtu" hidden="1">{#N/A,#N/A,TRUE,"financial";#N/A,#N/A,TRUE,"plants"}</definedName>
    <definedName name="dwf" hidden="1">{"First Page",#N/A,FALSE,"Surfactants LBO";"Second Page",#N/A,FALSE,"Surfactants LBO"}</definedName>
    <definedName name="e" hidden="1">{#N/A,#N/A,FALSE,"Créances";#N/A,#N/A,FALSE,"Effectifs";#N/A,#N/A,FALSE,"SI"}</definedName>
    <definedName name="é" hidden="1">{"MARCH",#N/A,FALSE,"CONSO OPEX 5899";"FullOpex",#N/A,FALSE,"CONSO OPEX 5899"}</definedName>
    <definedName name="ea" hidden="1">{#N/A,#N/A,TRUE,"Forecast &amp; Analysis";#N/A,#N/A,TRUE,"Market Values";#N/A,#N/A,TRUE,"Ratios";#N/A,#N/A,TRUE,"Regressions";#N/A,#N/A,TRUE,"Market Values";#N/A,#N/A,TRUE,"Parameters &amp; Results"}</definedName>
    <definedName name="ed5dyx" hidden="1">{#N/A,#N/A,FALSE,"CBE";#N/A,#N/A,FALSE,"SWK"}</definedName>
    <definedName name="edition"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dp" hidden="1">{"assumption 50 50",#N/A,TRUE,"Merger";"has gets cash",#N/A,TRUE,"Merger";"accretion dilution",#N/A,TRUE,"Merger";"comparison credit stats",#N/A,TRUE,"Merger";"pf credit stats",#N/A,TRUE,"Merger";"pf sheets",#N/A,TRUE,"Merger"}</definedName>
    <definedName name="ee" hidden="1">{#N/A,#N/A,TRUE,"Forecast &amp; Analysis";#N/A,#N/A,TRUE,"Market Values";#N/A,#N/A,TRUE,"Ratios";#N/A,#N/A,TRUE,"Regressions";#N/A,#N/A,TRUE,"Market Values";#N/A,#N/A,TRUE,"Parameters &amp; Results"}</definedName>
    <definedName name="EEE" hidden="1">{#N/A,#N/A,FALSE,"Calc";#N/A,#N/A,FALSE,"Sensitivity";#N/A,#N/A,FALSE,"LT Earn.Dil.";#N/A,#N/A,FALSE,"Dil. AVP"}</definedName>
    <definedName name="eeee" hidden="1">{#N/A,#N/A,FALSE,"Calc";#N/A,#N/A,FALSE,"Sensitivity";#N/A,#N/A,FALSE,"LT Earn.Dil.";#N/A,#N/A,FALSE,"Dil. AVP"}</definedName>
    <definedName name="eeeee" hidden="1">{"budget992000 tariff and usage",#N/A,FALSE,"Celtel alternative 6"}</definedName>
    <definedName name="EERYREYREYERY" hidden="1">{"up stand alones",#N/A,FALSE,"Acquiror"}</definedName>
    <definedName name="EHJYTKJHTK"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mil1" hidden="1">{#N/A,#N/A,FALSE,"Calc";#N/A,#N/A,FALSE,"Sensitivity";#N/A,#N/A,FALSE,"LT Earn.Dil.";#N/A,#N/A,FALSE,"Dil. AVP"}</definedName>
    <definedName name="emily" hidden="1">{#N/A,#N/A,FALSE,"Calc";#N/A,#N/A,FALSE,"Sensitivity";#N/A,#N/A,FALSE,"LT Earn.Dil.";#N/A,#N/A,FALSE,"Dil. AVP"}</definedName>
    <definedName name="emily1" hidden="1">{#N/A,#N/A,FALSE,"Calc";#N/A,#N/A,FALSE,"Sensitivity";#N/A,#N/A,FALSE,"LT Earn.Dil.";#N/A,#N/A,FALSE,"Dil. AVP"}</definedName>
    <definedName name="emily10" hidden="1">{#N/A,#N/A,FALSE,"Calc";#N/A,#N/A,FALSE,"Sensitivity";#N/A,#N/A,FALSE,"LT Earn.Dil.";#N/A,#N/A,FALSE,"Dil. AVP"}</definedName>
    <definedName name="emily100" hidden="1">{#N/A,#N/A,FALSE,"Calc";#N/A,#N/A,FALSE,"Sensitivity";#N/A,#N/A,FALSE,"LT Earn.Dil.";#N/A,#N/A,FALSE,"Dil. AVP"}</definedName>
    <definedName name="EPAGOJKPREG"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 hidden="1">#REF!</definedName>
    <definedName name="erere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tr" hidden="1">{#N/A,#N/A,FALSE,"Synth";"parc_DC",#N/A,FALSE,"parc";#N/A,#N/A,FALSE,"CA prest";#N/A,#N/A,FALSE,"Ratio CA";#N/A,#N/A,FALSE,"Trafic";"CR_GSM_acté_DC",#N/A,FALSE,"CR GSM_acté";#N/A,#N/A,FALSE,"Abonnés";#N/A,#N/A,FALSE,"Créances";#N/A,#N/A,FALSE,"Effectifs"}</definedName>
    <definedName name="ERTY" hidden="1">#REF!</definedName>
    <definedName name="ESD" hidden="1">{#N/A,#N/A,TRUE,"financial";#N/A,#N/A,TRUE,"plants"}</definedName>
    <definedName name="etet" hidden="1">{#N/A,#N/A,FALSE,"Calc";#N/A,#N/A,FALSE,"Sensitivity";#N/A,#N/A,FALSE,"LT Earn.Dil.";#N/A,#N/A,FALSE,"Dil. AVP"}</definedName>
    <definedName name="etyit" hidden="1">{"Balance sheet",#N/A,TRUE,"DB1_format"}</definedName>
    <definedName name="EV__LASTREFTIME__" hidden="1">41584.4587384259</definedName>
    <definedName name="eyr" hidden="1">{"hiden",#N/A,FALSE,"14";"hidden",#N/A,FALSE,"16";"hidden",#N/A,FALSE,"18";"hidden",#N/A,FALSE,"20"}</definedName>
    <definedName name="ezrtezr" hidden="1">#REF!</definedName>
    <definedName name="ezrtrezt" hidden="1">#REF!</definedName>
    <definedName name="eztezrt" hidden="1">#REF!</definedName>
    <definedName name="f" hidden="1">#N/A</definedName>
    <definedName name="fdd" hidden="1">{#N/A,#N/A,FALSE,"Objectives"}</definedName>
    <definedName name="fdfgdgdfgfdg" hidden="1">{"comp",#N/A,FALSE,"SPEC";"footnotes",#N/A,FALSE,"SPEC"}</definedName>
    <definedName name="fdhfdh" hidden="1">{"First Page",#N/A,FALSE,"Surfactants LBO";"Second Page",#N/A,FALSE,"Surfactants LBO"}</definedName>
    <definedName name="FDHFDHH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fghfdh" hidden="1">{"First Page",#N/A,FALSE,"Surfactants LBO";"Second Page",#N/A,FALSE,"Surfactants LBO"}</definedName>
    <definedName name="fdhhfhfgh"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s" hidden="1">{"comps",#N/A,FALSE,"comps";"notes",#N/A,FALSE,"comps"}</definedName>
    <definedName name="fdsf"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fdsf2" hidden="1">{"general",#N/A,FALSE,"Assumptions"}</definedName>
    <definedName name="fe" hidden="1">{"assumption cash",#N/A,TRUE,"Merger";"has gets cash",#N/A,TRUE,"Merger";"accretion dilution",#N/A,TRUE,"Merger";"comparison credit stats",#N/A,TRUE,"Merger";"pf credit stats",#N/A,TRUE,"Merger";"pf sheets",#N/A,TRUE,"Merger"}</definedName>
    <definedName name="ff" hidden="1">{#N/A,#N/A,FALSE,"Créances";#N/A,#N/A,FALSE,"Effectifs";#N/A,#N/A,FALSE,"SI"}</definedName>
    <definedName name="fff" hidden="1">{#N/A,#N/A,TRUE,"financial";#N/A,#N/A,TRUE,"plants"}</definedName>
    <definedName name="ffff" hidden="1">{"comps",#N/A,FALSE,"comps";"notes",#N/A,FALSE,"comps"}</definedName>
    <definedName name="ffffff" hidden="1">{"budget992000 capex",#N/A,FALSE,"Celtel alternative 6"}</definedName>
    <definedName name="FGFR" hidden="1">{#N/A,#N/A,TRUE,"Cover sheet";#N/A,#N/A,TRUE,"Summary";#N/A,#N/A,TRUE,"Key Assumptions";#N/A,#N/A,TRUE,"Profit &amp; Loss";#N/A,#N/A,TRUE,"Balance Sheet";#N/A,#N/A,TRUE,"Cashflow";#N/A,#N/A,TRUE,"IRR";#N/A,#N/A,TRUE,"Ratios";#N/A,#N/A,TRUE,"Debt analysis"}</definedName>
    <definedName name="fggddf" hidden="1">{"Employee Efficiency",#N/A,FALSE,"Benchmarking"}</definedName>
    <definedName name="fghdhgdfhfd" hidden="1">{"equity comps",#N/A,FALSE,"CS Comps";"equity comps",#N/A,FALSE,"PS Comps";"equity comps",#N/A,FALSE,"GIC_Comps";"equity comps",#N/A,FALSE,"GIC2_Comps"}</definedName>
    <definedName name="fghfgh" hidden="1">{"away stand alones",#N/A,FALSE,"Target"}</definedName>
    <definedName name="fghfghfgh" hidden="1">{"assumption cash",#N/A,TRUE,"Merger";"has gets cash",#N/A,TRUE,"Merger";"accretion dilution",#N/A,TRUE,"Merger";"comparison credit stats",#N/A,TRUE,"Merger";"pf credit stats",#N/A,TRUE,"Merger";"pf sheets",#N/A,TRUE,"Merger"}</definedName>
    <definedName name="FGHFH" hidden="1">{"' calendrier 2000'!$A$1:$Q$38"}</definedName>
    <definedName name="fgjhfgjhgj" hidden="1">{"comp1",#N/A,FALSE,"COMPS";"footnotes",#N/A,FALSE,"COMPS"}</definedName>
    <definedName name="fgsg" hidden="1">{"consolidated",#N/A,FALSE,"Sheet1";"cms",#N/A,FALSE,"Sheet1";"fse",#N/A,FALSE,"Sheet1"}</definedName>
    <definedName name="fh" hidden="1">{"COST",#N/A,FALSE,"SYNTHESE";"MARGIN",#N/A,FALSE,"SYNTHESE";"LOT_COM",#N/A,FALSE,"SYNTHESE"}</definedName>
    <definedName name="fhfghfghfgh" hidden="1">{"equity comps",#N/A,FALSE,"CS Comps";"equity comps",#N/A,FALSE,"PS Comps";"equity comps",#N/A,FALSE,"GIC_Comps";"equity comps",#N/A,FALSE,"GIC2_Comps";"debt comps",#N/A,FALSE,"CS Comps";"debt comps",#N/A,FALSE,"PS Comps";"debt comps",#N/A,FALSE,"GIC_Comps";"debt comps",#N/A,FALSE,"GIC2_Comps"}</definedName>
    <definedName name="fhfhfgh" hidden="1">{"hiden",#N/A,FALSE,"14";"hidden",#N/A,FALSE,"16";"hidden",#N/A,FALSE,"18";"hidden",#N/A,FALSE,"20"}</definedName>
    <definedName name="Fin" hidden="1">{#N/A,#N/A,FALSE,"Synth";"parc_DC",#N/A,FALSE,"parc";#N/A,#N/A,FALSE,"CA prest";#N/A,#N/A,FALSE,"Ratio CA";#N/A,#N/A,FALSE,"Trafic";"CR_GSM_acté_DC",#N/A,FALSE,"CR GSM_acté";#N/A,#N/A,FALSE,"Abonnés";#N/A,#N/A,FALSE,"Créances";#N/A,#N/A,FALSE,"Effectifs"}</definedName>
    <definedName name="fins1" hidden="1">{#N/A,#N/A,FALSE,"Calc";#N/A,#N/A,FALSE,"Sensitivity";#N/A,#N/A,FALSE,"LT Earn.Dil.";#N/A,#N/A,FALSE,"Dil. AVP"}</definedName>
    <definedName name="Flash" hidden="1">{#N/A,#N/A,FALSE,"Créances";#N/A,#N/A,FALSE,"Effectifs";#N/A,#N/A,FALSE,"SI"}</definedName>
    <definedName name="flashstrip" hidden="1">{#N/A,#N/A,FALSE,"INVOICED P-M";#N/A,#N/A,FALSE,"98 GESPREID"}</definedName>
    <definedName name="Frank" hidden="1">{#N/A,#N/A,TRUE,"Cover sheet";#N/A,#N/A,TRUE,"DCF analysis";#N/A,#N/A,TRUE,"WACC calculation"}</definedName>
    <definedName name="FRED" hidden="1">{"' calendrier 2000'!$A$1:$Q$38"}</definedName>
    <definedName name="FSDFSDF" hidden="1">#REF!</definedName>
    <definedName name="fsfs" hidden="1">{#N/A,#N/A,FALSE,"Calc";#N/A,#N/A,FALSE,"Sensitivity";#N/A,#N/A,FALSE,"LT Earn.Dil.";#N/A,#N/A,FALSE,"Dil. AVP"}</definedName>
    <definedName name="fuffuy" hidden="1">{#N/A,#N/A,FALSE,"Cover";"outputs total",#N/A,FALSE,"Outputs"}</definedName>
    <definedName name="g" hidden="1">{#N/A,#N/A,FALSE,"Synth";"parc_DC",#N/A,FALSE,"parc";#N/A,#N/A,FALSE,"CA prest";#N/A,#N/A,FALSE,"Ratio CA";#N/A,#N/A,FALSE,"Trafic";"CR_GSM_acté_DC",#N/A,FALSE,"CR GSM_acté";#N/A,#N/A,FALSE,"Abonnés";#N/A,#N/A,FALSE,"Créances";#N/A,#N/A,FALSE,"Effectifs"}</definedName>
    <definedName name="GBHJ" hidden="1">{#N/A,#N/A,FALSE,"Calc";#N/A,#N/A,FALSE,"Sensitivity";#N/A,#N/A,FALSE,"LT Earn.Dil.";#N/A,#N/A,FALSE,"Dil. AVP"}</definedName>
    <definedName name="gd" hidden="1">{"1999GrpConsol",#N/A,FALSE,"Grp Consol"}</definedName>
    <definedName name="gdf" hidden="1">{"1999Funding",#N/A,FALSE,"Funding"}</definedName>
    <definedName name="gdff"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sfg" hidden="1">{#N/A,#N/A,TRUE,"Cover sheet";#N/A,#N/A,TRUE,"INPUTS";#N/A,#N/A,TRUE,"OUTPUTS";#N/A,#N/A,TRUE,"VALUATION"}</definedName>
    <definedName name="Gestion" hidden="1">{#N/A,#N/A,FALSE,"Synth";"parc_DC",#N/A,FALSE,"parc";#N/A,#N/A,FALSE,"CA prest";#N/A,#N/A,FALSE,"Ratio CA";#N/A,#N/A,FALSE,"Trafic";"CR_GSM_acté_DC",#N/A,FALSE,"CR GSM_acté";#N/A,#N/A,FALSE,"Abonnés";#N/A,#N/A,FALSE,"Créances";#N/A,#N/A,FALSE,"Effectifs"}</definedName>
    <definedName name="gff" hidden="1">{"sweden",#N/A,FALSE,"Sweden";"germany",#N/A,FALSE,"Germany";"portugal",#N/A,FALSE,"Portugal";"belgium",#N/A,FALSE,"Belgium";"japan",#N/A,FALSE,"Japan ";"italy",#N/A,FALSE,"Italy";"spain",#N/A,FALSE,"Spain";"korea",#N/A,FALSE,"Korea"}</definedName>
    <definedName name="GFGFDGS"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gfsdgsdf" hidden="1">{#N/A,#N/A,FALSE,"Globtel";#N/A,#N/A,FALSE,"Globtel"}</definedName>
    <definedName name="GFT" hidden="1">{#N/A,#N/A,FALSE,"Synth";"parc_DC",#N/A,FALSE,"parc";#N/A,#N/A,FALSE,"CA prest";#N/A,#N/A,FALSE,"Ratio CA";#N/A,#N/A,FALSE,"Trafic";"CR_GSM_acté_DC",#N/A,FALSE,"CR GSM_acté";#N/A,#N/A,FALSE,"Abonnés";#N/A,#N/A,FALSE,"Créances";#N/A,#N/A,FALSE,"Effectifs"}</definedName>
    <definedName name="gg" hidden="1">{#N/A,#N/A,TRUE,"Pro Forma";#N/A,#N/A,TRUE,"PF_Bal";#N/A,#N/A,TRUE,"PF_INC";#N/A,#N/A,TRUE,"CBE";#N/A,#N/A,TRUE,"SWK"}</definedName>
    <definedName name="ggf" hidden="1">{"comps",#N/A,FALSE,"comps";"notes",#N/A,FALSE,"comps"}</definedName>
    <definedName name="ggggg" hidden="1">{"budget992000_customers",#N/A,FALSE,"Celtel alternative 6"}</definedName>
    <definedName name="ggggggg" hidden="1">{"budget992000 profit and loss",#N/A,FALSE,"Celtel alternative 6"}</definedName>
    <definedName name="gh" hidden="1">{"CSC_1",#N/A,FALSE,"CSC Outputs";"CSC_2",#N/A,FALSE,"CSC Outputs"}</definedName>
    <definedName name="gjk" hidden="1">{#N/A,#N/A,FALSE,"Calc";#N/A,#N/A,FALSE,"Sensitivity";#N/A,#N/A,FALSE,"LT Earn.Dil.";#N/A,#N/A,FALSE,"Dil. AVP"}</definedName>
    <definedName name="gogo" hidden="1">{#N/A,#N/A,TRUE,"Cover sheet";#N/A,#N/A,TRUE,"INPUTS";#N/A,#N/A,TRUE,"OUTPUTS";#N/A,#N/A,TRUE,"VALUATION"}</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oodrich" hidden="1">{"comp1",#N/A,FALSE,"COMPS";"footnotes",#N/A,FALSE,"COMPS"}</definedName>
    <definedName name="gui" hidden="1">{"casespecific",#N/A,FALSE,"Assumptions"}</definedName>
    <definedName name="h" hidden="1">{#N/A,#N/A,FALSE,"Synth";"parc_DC",#N/A,FALSE,"parc";#N/A,#N/A,FALSE,"CA prest";#N/A,#N/A,FALSE,"Ratio CA";#N/A,#N/A,FALSE,"Trafic";"CR_GSM_acté_DC",#N/A,FALSE,"CR GSM_acté";#N/A,#N/A,FALSE,"Abonnés";#N/A,#N/A,FALSE,"Créances";#N/A,#N/A,FALSE,"Effectifs"}</definedName>
    <definedName name="hdfh" hidden="1">{"2000Corporate",#N/A,FALSE,"Corporate"}</definedName>
    <definedName name="HDHFH"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hello" hidden="1">{#N/A,#N/A,FALSE,"Cover";"outputs total",#N/A,FALSE,"Outputs"}</definedName>
    <definedName name="hg" hidden="1">{#N/A,#N/A,FALSE,"Synth";"parc_DC",#N/A,FALSE,"parc";#N/A,#N/A,FALSE,"CA prest";#N/A,#N/A,FALSE,"Ratio CA";#N/A,#N/A,FALSE,"Trafic";"CR_GSM_acté_DC",#N/A,FALSE,"CR GSM_acté";#N/A,#N/A,FALSE,"Abonnés";#N/A,#N/A,FALSE,"Créances";#N/A,#N/A,FALSE,"Effectifs"}</definedName>
    <definedName name="HGTR" hidden="1">{"up stand alones",#N/A,FALSE,"Acquiror"}</definedName>
    <definedName name="hhhsdf" hidden="1">{"up stand alones",#N/A,FALSE,"Acquiror"}</definedName>
    <definedName name="hhhsdf1" hidden="1">{"up stand alones",#N/A,FALSE,"Acquiror"}</definedName>
    <definedName name="Highlights" hidden="1">{#N/A,#N/A,FALSE,"Synth";"parc_DC",#N/A,FALSE,"parc";#N/A,#N/A,FALSE,"CA prest";#N/A,#N/A,FALSE,"Ratio CA";#N/A,#N/A,FALSE,"Trafic";"CR_GSM_acté_DC",#N/A,FALSE,"CR GSM_acté";#N/A,#N/A,FALSE,"Abonnés";#N/A,#N/A,FALSE,"Créances";#N/A,#N/A,FALSE,"Effectifs"}</definedName>
    <definedName name="hjfgjghj" hidden="1">{"up stand alones",#N/A,FALSE,"Acquiror"}</definedName>
    <definedName name="hjkh" hidden="1">{"assumption 50 50",#N/A,TRUE,"Merger";"has gets cash",#N/A,TRUE,"Merger";"accretion dilution",#N/A,TRUE,"Merger";"comparison credit stats",#N/A,TRUE,"Merger";"pf credit stats",#N/A,TRUE,"Merger";"pf sheets",#N/A,TRUE,"Merger"}</definedName>
    <definedName name="hjkhjkhjk" hidden="1">{"equity comps",#N/A,FALSE,"CS Comps";"equity comps",#N/A,FALSE,"PS Comps";"equity comps",#N/A,FALSE,"GIC_Comps";"equity comps",#N/A,FALSE,"GIC2_Comps";"debt comps",#N/A,FALSE,"CS Comps";"debt comps",#N/A,FALSE,"PS Comps";"debt comps",#N/A,FALSE,"GIC_Comps";"debt comps",#N/A,FALSE,"GIC2_Comps"}</definedName>
    <definedName name="hjkjhk" hidden="1">{#N/A,#N/A,FALSE,"Calc";#N/A,#N/A,FALSE,"Sensitivity";#N/A,#N/A,FALSE,"LT Earn.Dil.";#N/A,#N/A,FALSE,"Dil. AVP"}</definedName>
    <definedName name="hkhjk" hidden="1">{#N/A,#N/A,FALSE,"Operations";#N/A,#N/A,FALSE,"Financials"}</definedName>
    <definedName name="hkjj" hidden="1">{"Line Efficiency",#N/A,FALSE,"Benchmarking"}</definedName>
    <definedName name="HNJ" hidden="1">{#N/A,#N/A,FALSE,"Calc";#N/A,#N/A,FALSE,"Sensitivity";#N/A,#N/A,FALSE,"LT Earn.Dil.";#N/A,#N/A,FALSE,"Dil. AVP"}</definedName>
    <definedName name="HTML_CodePage" hidden="1">1252</definedName>
    <definedName name="HTML_Control" hidden="1">{"' calendrier 2000'!$A$1:$Q$38"}</definedName>
    <definedName name="HTML_Control2" hidden="1">{"' calendrier 2000'!$A$1:$Q$38"}</definedName>
    <definedName name="HTML_Control3" hidden="1">{"' calendrier 2000'!$A$1:$Q$38"}</definedName>
    <definedName name="HTML_Description" hidden="1">""</definedName>
    <definedName name="HTML_Email" hidden="1">""</definedName>
    <definedName name="HTML_Header" hidden="1">"calendrier 2000"</definedName>
    <definedName name="HTML_LastUpdate" hidden="1">"06/04/00"</definedName>
    <definedName name="HTML_LineAfter" hidden="1">FALSE</definedName>
    <definedName name="HTML_LineBefore" hidden="1">FALSE</definedName>
    <definedName name="HTML_Name" hidden="1">"LEMAITRE Thierry"</definedName>
    <definedName name="HTML_OBDlg2" hidden="1">TRUE</definedName>
    <definedName name="HTML_OBDlg4" hidden="1">TRUE</definedName>
    <definedName name="HTML_OS" hidden="1">0</definedName>
    <definedName name="HTML_PathFile" hidden="1">"K:\Divers\MonHTML.htm"</definedName>
    <definedName name="HTML_Title" hidden="1">"calendrier 2000"</definedName>
    <definedName name="i" hidden="1">{#N/A,#N/A,FALSE,"Synth";"parc_DC",#N/A,FALSE,"parc";#N/A,#N/A,FALSE,"CA prest";#N/A,#N/A,FALSE,"Ratio CA";#N/A,#N/A,FALSE,"Trafic";"CR_GSM_acté_DC",#N/A,FALSE,"CR GSM_acté";#N/A,#N/A,FALSE,"Abonnés";#N/A,#N/A,FALSE,"Créances";#N/A,#N/A,FALSE,"Effectifs"}</definedName>
    <definedName name="ii" hidden="1">{"Tariff Comparison",#N/A,FALSE,"Benchmarking";"Tariff Comparison 2",#N/A,FALSE,"Benchmarking";"Tariff Comparison 3",#N/A,FALSE,"Benchmarking"}</definedName>
    <definedName name="iiiii" hidden="1">{#N/A,#N/A,FALSE,"Calc";#N/A,#N/A,FALSE,"Sensitivity";#N/A,#N/A,FALSE,"LT Earn.Dil.";#N/A,#N/A,FALSE,"Dil. AVP"}</definedName>
    <definedName name="ik" hidden="1">{"casespecific",#N/A,FALSE,"Assumptions"}</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RES_DOM_FFIEC" hidden="1">"c15269"</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"c16174"</definedName>
    <definedName name="IQ_ACQ_COST_WIRELESS_SUB" hidden="1">"c2125"</definedName>
    <definedName name="IQ_ACQ_COSTS_CAPITALIZED" hidden="1">"c5"</definedName>
    <definedName name="IQ_ACQUIRE_REAL_ESTATE_CF" hidden="1">"c6"</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S_NON_ACCRUAL_ASSET_DURING_QTR_FFIEC" hidden="1">"c15349"</definedName>
    <definedName name="IQ_ADJ_AVG_BANK_ASSETS" hidden="1">"c2671"</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ORT_EXP_IMPAIRMENT_OTHER_INTANGIBLE_ASSETS_FFIEC" hidden="1">"c13026"</definedName>
    <definedName name="IQ_AMORTIZATION" hidden="1">"c1591"</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"c16134"</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REPRICE_ASSETS_TOT_FFIEC" hidden="1">"c13454"</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SALE_SEC_FFIEC" hidden="1">"c12791"</definedName>
    <definedName name="IQ_AVERAGE_DEPOSITS" hidden="1">"c15256"</definedName>
    <definedName name="IQ_AVERAGE_INTEREST_BEARING_DEPOSITS" hidden="1">"c15254"</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DUSTRY_REC_CIQ_COL" hidden="1">"c11631"</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NK_DEBT" hidden="1">"c2544"</definedName>
    <definedName name="IQ_BANK_DEBT_PCT" hidden="1">"c2545"</definedName>
    <definedName name="IQ_BANK_LOAN_LIST" hidden="1">"c13507"</definedName>
    <definedName name="IQ_BANKING_FEES_OPERATING_INC_FFIEC" hidden="1">"c13386"</definedName>
    <definedName name="IQ_BANKS_FOREIGN_COUNTRIES_NON_TRANS_ACCTS_FFIEC" hidden="1">"c15326"</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ASIC_WEIGHT_GUIDANCE" hidden="1">"c4141"</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OVER_SHARES" hidden="1">"c1349"</definedName>
    <definedName name="IQ_BV_SHARE" hidden="1">"c100"</definedName>
    <definedName name="IQ_BV_SHARE_ACT_OR_EST_CIQ_COL" hidden="1">"c11719"</definedName>
    <definedName name="IQ_CA_AP" hidden="1">"c8881"</definedName>
    <definedName name="IQ_CA_AP_ABS" hidden="1">"c8900"</definedName>
    <definedName name="IQ_CA_NAME_AP" hidden="1">"c8919"</definedName>
    <definedName name="IQ_CA_NAME_AP_ABS" hidden="1">"c8938"</definedName>
    <definedName name="IQ_CABLE_ARPU" hidden="1">"c16151"</definedName>
    <definedName name="IQ_CABLE_ARPU_ANALOG" hidden="1">"c16146"</definedName>
    <definedName name="IQ_CABLE_ARPU_BASIC" hidden="1">"c16148"</definedName>
    <definedName name="IQ_CABLE_ARPU_BBAND" hidden="1">"c16150"</definedName>
    <definedName name="IQ_CABLE_ARPU_DIG" hidden="1">"c16147"</definedName>
    <definedName name="IQ_CABLE_ARPU_PHONE" hidden="1">"c16149"</definedName>
    <definedName name="IQ_CABLE_BASIC_PENETRATION" hidden="1">"c16130"</definedName>
    <definedName name="IQ_CABLE_BBAND_PENETRATION" hidden="1">"c16131"</definedName>
    <definedName name="IQ_CABLE_BBAND_PENETRATION_THP" hidden="1">"c16132"</definedName>
    <definedName name="IQ_CABLE_CHURN" hidden="1">"c16156"</definedName>
    <definedName name="IQ_CABLE_CHURN_BASIC" hidden="1">"c16153"</definedName>
    <definedName name="IQ_CABLE_CHURN_BBAND" hidden="1">"c16155"</definedName>
    <definedName name="IQ_CABLE_CHURN_DIG" hidden="1">"c16152"</definedName>
    <definedName name="IQ_CABLE_CHURN_PHONE" hidden="1">"c16154"</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"c16145"</definedName>
    <definedName name="IQ_CABLE_OTHER_REV" hidden="1">"c16164"</definedName>
    <definedName name="IQ_CABLE_PHONE_PENETRATION" hidden="1">"c16133"</definedName>
    <definedName name="IQ_CABLE_PROGRAMMING_COSTS" hidden="1">"c16144"</definedName>
    <definedName name="IQ_CABLE_REV_ADVERT" hidden="1">"c16162"</definedName>
    <definedName name="IQ_CABLE_REV_ANALOG" hidden="1">"c16157"</definedName>
    <definedName name="IQ_CABLE_REV_BASIC" hidden="1">"c16159"</definedName>
    <definedName name="IQ_CABLE_REV_BBAND" hidden="1">"c16160"</definedName>
    <definedName name="IQ_CABLE_REV_COMMERCIAL" hidden="1">"c16163"</definedName>
    <definedName name="IQ_CABLE_REV_DIG" hidden="1">"c16158"</definedName>
    <definedName name="IQ_CABLE_REV_PHONE" hidden="1">"c16161"</definedName>
    <definedName name="IQ_CABLE_RGU" hidden="1">"c16143"</definedName>
    <definedName name="IQ_CABLE_SUBS_ANALOG" hidden="1">"c16135"</definedName>
    <definedName name="IQ_CABLE_SUBS_BASIC" hidden="1">"c16137"</definedName>
    <definedName name="IQ_CABLE_SUBS_BBAND" hidden="1">"c16138"</definedName>
    <definedName name="IQ_CABLE_SUBS_BUNDLED" hidden="1">"c16141"</definedName>
    <definedName name="IQ_CABLE_SUBS_BUS_PHONE" hidden="1">"c15773"</definedName>
    <definedName name="IQ_CABLE_SUBS_DIG" hidden="1">"c16136"</definedName>
    <definedName name="IQ_CABLE_SUBS_LONG_DIST_PHONE" hidden="1">"c15775"</definedName>
    <definedName name="IQ_CABLE_SUBS_NON_VIDEO" hidden="1">"c16140"</definedName>
    <definedName name="IQ_CABLE_SUBS_PHONE" hidden="1">"c16139"</definedName>
    <definedName name="IQ_CABLE_SUBS_RES_PHONE" hidden="1">"c15772"</definedName>
    <definedName name="IQ_CABLE_SUBS_SATELITE" hidden="1">"c15771"</definedName>
    <definedName name="IQ_CABLE_SUBS_TOTAL" hidden="1">"c16142"</definedName>
    <definedName name="IQ_CABLE_SUBS_WHOLE_PHONE" hidden="1">"c15774"</definedName>
    <definedName name="IQ_CABLE_THP" hidden="1">"c2847"</definedName>
    <definedName name="IQ_CABLE_TOTAL_PENETRATION" hidden="1">"c2854"</definedName>
    <definedName name="IQ_CABLE_TOTAL_REV" hidden="1">"c16165"</definedName>
    <definedName name="IQ_CAL_Q" hidden="1">"c101"</definedName>
    <definedName name="IQ_CAL_Q_EST" hidden="1">"c6796"</definedName>
    <definedName name="IQ_CAL_Q_EST_CIQ" hidden="1">"c6808"</definedName>
    <definedName name="IQ_CAL_Q_EST_CIQ_COL" hidden="1">"c11743"</definedName>
    <definedName name="IQ_CAL_Y" hidden="1">"c102"</definedName>
    <definedName name="IQ_CAL_Y_EST" hidden="1">"c6797"</definedName>
    <definedName name="IQ_CAL_Y_EST_CIQ" hidden="1">"c6809"</definedName>
    <definedName name="IQ_CAL_Y_EST_CIQ_COL" hidden="1">"c11744"</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CIQ_COL" hidden="1">"c11718"</definedName>
    <definedName name="IQ_CAPEX_BNK" hidden="1">"c110"</definedName>
    <definedName name="IQ_CAPEX_BR" hidden="1">"c111"</definedName>
    <definedName name="IQ_CAPEX_FIN" hidden="1">"c112"</definedName>
    <definedName name="IQ_CAPEX_GUIDANCE_CIQ" hidden="1">"c4562"</definedName>
    <definedName name="IQ_CAPEX_GUIDANCE_CIQ_COL" hidden="1">"c11211"</definedName>
    <definedName name="IQ_CAPEX_HIGH_GUIDANCE_CIQ" hidden="1">"c4592"</definedName>
    <definedName name="IQ_CAPEX_HIGH_GUIDANCE_CIQ_COL" hidden="1">"c11241"</definedName>
    <definedName name="IQ_CAPEX_INS" hidden="1">"c113"</definedName>
    <definedName name="IQ_CAPEX_LOW_GUIDANCE_CIQ" hidden="1">"c4632"</definedName>
    <definedName name="IQ_CAPEX_LOW_GUIDANCE_CIQ_COL" hidden="1">"c11281"</definedName>
    <definedName name="IQ_CAPEX_PCT_REV" hidden="1">"c19144"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FLOW_ACT_OR_EST_CIQ_COL" hidden="1">"c11215"</definedName>
    <definedName name="IQ_CASH_FLOW_GUIDANCE" hidden="1">"c4155"</definedName>
    <definedName name="IQ_CASH_FLOW_GUIDANCE_CIQ" hidden="1">"c4567"</definedName>
    <definedName name="IQ_CASH_FLOW_GUIDANCE_CIQ_COL" hidden="1">"c11216"</definedName>
    <definedName name="IQ_CASH_FLOW_HIGH_GUIDANCE" hidden="1">"c4201"</definedName>
    <definedName name="IQ_CASH_FLOW_HIGH_GUIDANCE_CIQ" hidden="1">"c4613"</definedName>
    <definedName name="IQ_CASH_FLOW_HIGH_GUIDANCE_CIQ_COL" hidden="1">"c11262"</definedName>
    <definedName name="IQ_CASH_FLOW_LOW_GUIDANCE" hidden="1">"c4241"</definedName>
    <definedName name="IQ_CASH_FLOW_LOW_GUIDANCE_CIQ" hidden="1">"c4653"</definedName>
    <definedName name="IQ_CASH_FLOW_LOW_GUIDANCE_CIQ_COL" hidden="1">"c11302"</definedName>
    <definedName name="IQ_CASH_FOREIGN_BRANCH_OTHER_US_BANKS_FFIEC" hidden="1">"c15282"</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GUIDANCE_CIQ" hidden="1">"c4577"</definedName>
    <definedName name="IQ_CASH_OPER_GUIDANCE_CIQ_COL" hidden="1">"c11226"</definedName>
    <definedName name="IQ_CASH_OPER_HIGH_GUIDANCE_CIQ" hidden="1">"c4597"</definedName>
    <definedName name="IQ_CASH_OPER_HIGH_GUIDANCE_CIQ_COL" hidden="1">"c11246"</definedName>
    <definedName name="IQ_CASH_OPER_LOW_GUIDANCE_CIQ" hidden="1">"c4637"</definedName>
    <definedName name="IQ_CASH_OPER_LOW_GUIDANCE_CIQ_COL" hidden="1">"c11286"</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GUIDANCE" hidden="1">"c4250"</definedName>
    <definedName name="IQ_CASH_ST_INVEST_GUIDANCE_CIQ" hidden="1">"c4776"</definedName>
    <definedName name="IQ_CASH_ST_INVEST_GUIDANCE_CIQ_COL" hidden="1">"c11423"</definedName>
    <definedName name="IQ_CASH_ST_INVEST_HIGH_GUIDANCE" hidden="1">"c4195"</definedName>
    <definedName name="IQ_CASH_ST_INVEST_HIGH_GUIDANCE_CIQ" hidden="1">"c4607"</definedName>
    <definedName name="IQ_CASH_ST_INVEST_HIGH_GUIDANCE_CIQ_COL" hidden="1">"c11256"</definedName>
    <definedName name="IQ_CASH_ST_INVEST_LOW_GUIDANCE" hidden="1">"c4235"</definedName>
    <definedName name="IQ_CASH_ST_INVEST_LOW_GUIDANCE_CIQ" hidden="1">"c4647"</definedName>
    <definedName name="IQ_CASH_ST_INVEST_LOW_GUIDANCE_CIQ_COL" hidden="1">"c11296"</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_CIQ_COL" hidden="1">"c11708"</definedName>
    <definedName name="IQ_CFPS_GUIDANCE_CIQ" hidden="1">"c4782"</definedName>
    <definedName name="IQ_CFPS_GUIDANCE_CIQ_COL" hidden="1">"c11429"</definedName>
    <definedName name="IQ_CFPS_HIGH_GUIDANCE_CIQ" hidden="1">"c4579"</definedName>
    <definedName name="IQ_CFPS_HIGH_GUIDANCE_CIQ_COL" hidden="1">"c11228"</definedName>
    <definedName name="IQ_CFPS_LOW_GUIDANCE_CIQ" hidden="1">"c4619"</definedName>
    <definedName name="IQ_CFPS_LOW_GUIDANCE_CIQ_COL" hidden="1">"c11268"</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VAIL_SALE_FFIEC" hidden="1">"c12800"</definedName>
    <definedName name="IQ_CMBS_ISSUED_FFIEC" hidden="1">"c12786"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DOM" hidden="1">"c177"</definedName>
    <definedName name="IQ_COMMERCIAL_FIRE_WRITTEN" hidden="1">"c178"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ON_ACCRUAL_FFIEC" hidden="1">"c13323"</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ISK_BASED_FFIEC" hidden="1">"c13431"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GROSS_LOANS_FFIEC" hidden="1">"c13400"</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SELL_SEC_OTHER_OFF_BS_FFIEC" hidden="1">"c13129"</definedName>
    <definedName name="IQ_COMMODITY_EXPOSURE_FFIEC" hidden="1">"c13061"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LAND_DEV_DOM_FFIEC" hidden="1">"c15267"</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O_ID" hidden="1">"c15222"</definedName>
    <definedName name="IQ_COO_NAME" hidden="1">"c15221"</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"c16173"</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NON_ACCRUAL_FFIEC" hidden="1">"c13324"</definedName>
    <definedName name="IQ_CREDIT_CARD_LOANS_RECOV_FFIEC" hidden="1">"c13202"</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TOT_DEPOSITS_FFIEC" hidden="1">"c13902"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INTEREST_SECURITIES" hidden="1">"c5509"</definedName>
    <definedName name="IQ_DEPOSITS_LESS_100K_COMMERCIAL_BANK_SUBS_FFIEC" hidden="1">"c12948"</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_WEIGHT_GUIDANCE" hidden="1">"c4270"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ACT_OR_EST_CIQ_COL" hidden="1">"c11450"</definedName>
    <definedName name="IQ_DISTRIBUTABLE_CASH_GUIDANCE_CIQ" hidden="1">"c4804"</definedName>
    <definedName name="IQ_DISTRIBUTABLE_CASH_GUIDANCE_CIQ_COL" hidden="1">"c11451"</definedName>
    <definedName name="IQ_DISTRIBUTABLE_CASH_HIGH_GUIDANCE_CIQ" hidden="1">"c4610"</definedName>
    <definedName name="IQ_DISTRIBUTABLE_CASH_HIGH_GUIDANCE_CIQ_COL" hidden="1">"c11259"</definedName>
    <definedName name="IQ_DISTRIBUTABLE_CASH_LOW_GUIDANCE_CIQ" hidden="1">"c4650"</definedName>
    <definedName name="IQ_DISTRIBUTABLE_CASH_LOW_GUIDANCE_CIQ_COL" hidden="1">"c11299"</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_CIQ" hidden="1">"c4811"</definedName>
    <definedName name="IQ_DISTRIBUTABLE_CASH_SHARE_ACT_OR_EST_CIQ_COL" hidden="1">"c11458"</definedName>
    <definedName name="IQ_DISTRIBUTABLE_CASH_SHARE_GUIDANCE_CIQ" hidden="1">"c4812"</definedName>
    <definedName name="IQ_DISTRIBUTABLE_CASH_SHARE_GUIDANCE_CIQ_COL" hidden="1">"c11459"</definedName>
    <definedName name="IQ_DISTRIBUTABLE_CASH_SHARE_HIGH_GUIDANCE_CIQ" hidden="1">"c4611"</definedName>
    <definedName name="IQ_DISTRIBUTABLE_CASH_SHARE_HIGH_GUIDANCE_CIQ_COL" hidden="1">"c11260"</definedName>
    <definedName name="IQ_DISTRIBUTABLE_CASH_SHARE_LOW_GUIDANCE_CIQ" hidden="1">"c4651"</definedName>
    <definedName name="IQ_DISTRIBUTABLE_CASH_SHARE_LOW_GUIDANCE_CIQ_COL" hidden="1">"c11300"</definedName>
    <definedName name="IQ_DISTRIBUTABLE_CASH_SHARES_BASIC" hidden="1">"c16189"</definedName>
    <definedName name="IQ_DISTRIBUTABLE_CASH_SHARES_DILUTED" hidden="1">"c16190"</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FIEC" hidden="1">"c12969"</definedName>
    <definedName name="IQ_DIVIDENDS_DECLARED_PREFERRED_FFIEC" hidden="1">"c12968"</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CIQ_COL" hidden="1">"c11709"</definedName>
    <definedName name="IQ_DPS_GUIDANCE_CIQ" hidden="1">"c4827"</definedName>
    <definedName name="IQ_DPS_GUIDANCE_CIQ_COL" hidden="1">"c11474"</definedName>
    <definedName name="IQ_DPS_HIGH_GUIDANCE_CIQ" hidden="1">"c4580"</definedName>
    <definedName name="IQ_DPS_HIGH_GUIDANCE_CIQ_COL" hidden="1">"c11229"</definedName>
    <definedName name="IQ_DPS_LOW_GUIDANCE_CIQ" hidden="1">"c4620"</definedName>
    <definedName name="IQ_DPS_LOW_GUIDANCE_CIQ_COL" hidden="1">"c11269"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QUARTERLY_AVG_FFIEC" hidden="1">"c13086"</definedName>
    <definedName name="IQ_EARNING_ASSETS_REPRICE_ASSETS_TOT_FFIEC" hidden="1">"c13451"</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NT_OPS_HOMEBUILDING_SALES" hidden="1">"c15817"</definedName>
    <definedName name="IQ_EARNINGS_COVERAGE_LOSSES_FFIEC" hidden="1">"c13351"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CIQ_COL" hidden="1">"c11710"</definedName>
    <definedName name="IQ_EBIT_EQ_INC" hidden="1">"c3498"</definedName>
    <definedName name="IQ_EBIT_EQ_INC_EXCL_SBC" hidden="1">"c3502"</definedName>
    <definedName name="IQ_EBIT_EXCL_SBC" hidden="1">"c3082"</definedName>
    <definedName name="IQ_EBIT_GUIDANCE_CIQ" hidden="1">"c4828"</definedName>
    <definedName name="IQ_EBIT_GUIDANCE_CIQ_COL" hidden="1">"c11475"</definedName>
    <definedName name="IQ_EBIT_GW_ACT_OR_EST_CIQ_COL" hidden="1">"c11478"</definedName>
    <definedName name="IQ_EBIT_GW_GUIDANCE" hidden="1">"c4307"</definedName>
    <definedName name="IQ_EBIT_GW_GUIDANCE_CIQ" hidden="1">"c4832"</definedName>
    <definedName name="IQ_EBIT_GW_GUIDANCE_CIQ_COL" hidden="1">"c11479"</definedName>
    <definedName name="IQ_EBIT_GW_HIGH_GUIDANCE" hidden="1">"c4171"</definedName>
    <definedName name="IQ_EBIT_GW_HIGH_GUIDANCE_CIQ" hidden="1">"c4583"</definedName>
    <definedName name="IQ_EBIT_GW_HIGH_GUIDANCE_CIQ_COL" hidden="1">"c11232"</definedName>
    <definedName name="IQ_EBIT_GW_LOW_GUIDANCE" hidden="1">"c4211"</definedName>
    <definedName name="IQ_EBIT_GW_LOW_GUIDANCE_CIQ" hidden="1">"c4623"</definedName>
    <definedName name="IQ_EBIT_GW_LOW_GUIDANCE_CIQ_COL" hidden="1">"c11272"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GUIDANCE_CIQ" hidden="1">"c4624"</definedName>
    <definedName name="IQ_EBIT_LOW_GUIDANCE_CIQ_COL" hidden="1">"c11273"</definedName>
    <definedName name="IQ_EBIT_MARGIN" hidden="1">"c359"</definedName>
    <definedName name="IQ_EBIT_OVER_IE" hidden="1">"c1369"</definedName>
    <definedName name="IQ_EBIT_SBC_ACT_OR_EST_CIQ" hidden="1">"c4841"</definedName>
    <definedName name="IQ_EBIT_SBC_ACT_OR_EST_CIQ_COL" hidden="1">"c11488"</definedName>
    <definedName name="IQ_EBIT_SBC_GUIDANCE" hidden="1">"c4317"</definedName>
    <definedName name="IQ_EBIT_SBC_GUIDANCE_CIQ" hidden="1">"c4842"</definedName>
    <definedName name="IQ_EBIT_SBC_GUIDANCE_CIQ_COL" hidden="1">"c11489"</definedName>
    <definedName name="IQ_EBIT_SBC_GW_ACT_OR_EST_CIQ" hidden="1">"c4845"</definedName>
    <definedName name="IQ_EBIT_SBC_GW_ACT_OR_EST_CIQ_COL" hidden="1">"c11492"</definedName>
    <definedName name="IQ_EBIT_SBC_GW_GUIDANCE" hidden="1">"c4321"</definedName>
    <definedName name="IQ_EBIT_SBC_GW_GUIDANCE_CIQ" hidden="1">"c4846"</definedName>
    <definedName name="IQ_EBIT_SBC_GW_GUIDANCE_CIQ_COL" hidden="1">"c11493"</definedName>
    <definedName name="IQ_EBIT_SBC_GW_HIGH_GUIDANCE" hidden="1">"c4193"</definedName>
    <definedName name="IQ_EBIT_SBC_GW_HIGH_GUIDANCE_CIQ" hidden="1">"c4605"</definedName>
    <definedName name="IQ_EBIT_SBC_GW_HIGH_GUIDANCE_CIQ_COL" hidden="1">"c11254"</definedName>
    <definedName name="IQ_EBIT_SBC_GW_LOW_GUIDANCE" hidden="1">"c4233"</definedName>
    <definedName name="IQ_EBIT_SBC_GW_LOW_GUIDANCE_CIQ" hidden="1">"c4645"</definedName>
    <definedName name="IQ_EBIT_SBC_GW_LOW_GUIDANCE_CIQ_COL" hidden="1">"c11294"</definedName>
    <definedName name="IQ_EBIT_SBC_HIGH_GUIDANCE" hidden="1">"c4192"</definedName>
    <definedName name="IQ_EBIT_SBC_HIGH_GUIDANCE_CIQ" hidden="1">"c4604"</definedName>
    <definedName name="IQ_EBIT_SBC_HIGH_GUIDANCE_CIQ_COL" hidden="1">"c11253"</definedName>
    <definedName name="IQ_EBIT_SBC_LOW_GUIDANCE" hidden="1">"c4232"</definedName>
    <definedName name="IQ_EBIT_SBC_LOW_GUIDANCE_CIQ" hidden="1">"c4644"</definedName>
    <definedName name="IQ_EBIT_SBC_LOW_GUIDANCE_CIQ_COL" hidden="1">"c11293"</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BC_ACT_OR_EST_CIQ_COL" hidden="1">"c11509"</definedName>
    <definedName name="IQ_EBITDA_SBC_GUIDANCE" hidden="1">"c4338"</definedName>
    <definedName name="IQ_EBITDA_SBC_GUIDANCE_CIQ" hidden="1">"c4863"</definedName>
    <definedName name="IQ_EBITDA_SBC_GUIDANCE_CIQ_COL" hidden="1">"c11510"</definedName>
    <definedName name="IQ_EBITDA_SBC_HIGH_GUIDANCE" hidden="1">"c4194"</definedName>
    <definedName name="IQ_EBITDA_SBC_HIGH_GUIDANCE_CIQ" hidden="1">"c4606"</definedName>
    <definedName name="IQ_EBITDA_SBC_HIGH_GUIDANCE_CIQ_COL" hidden="1">"c11255"</definedName>
    <definedName name="IQ_EBITDA_SBC_LOW_GUIDANCE" hidden="1">"c4234"</definedName>
    <definedName name="IQ_EBITDA_SBC_LOW_GUIDANCE_CIQ" hidden="1">"c4646"</definedName>
    <definedName name="IQ_EBITDA_SBC_LOW_GUIDANCE_CIQ_COL" hidden="1">"c11295"</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_CIQ" hidden="1">"c4870"</definedName>
    <definedName name="IQ_EBT_GAAP_GUIDANCE_CIQ_COL" hidden="1">"c11517"</definedName>
    <definedName name="IQ_EBT_GAAP_HIGH_GUIDANCE_CIQ" hidden="1">"c4586"</definedName>
    <definedName name="IQ_EBT_GAAP_HIGH_GUIDANCE_CIQ_COL" hidden="1">"c11235"</definedName>
    <definedName name="IQ_EBT_GAAP_LOW_GUIDANCE_CIQ" hidden="1">"c4626"</definedName>
    <definedName name="IQ_EBT_GAAP_LOW_GUIDANCE_CIQ_COL" hidden="1">"c11275"</definedName>
    <definedName name="IQ_EBT_GUIDANCE_CIQ" hidden="1">"c4871"</definedName>
    <definedName name="IQ_EBT_GUIDANCE_CIQ_COL" hidden="1">"c11518"</definedName>
    <definedName name="IQ_EBT_GW_GUIDANCE_CIQ" hidden="1">"c4872"</definedName>
    <definedName name="IQ_EBT_GW_GUIDANCE_CIQ_COL" hidden="1">"c11519"</definedName>
    <definedName name="IQ_EBT_GW_HIGH_GUIDANCE_CIQ" hidden="1">"c4587"</definedName>
    <definedName name="IQ_EBT_GW_HIGH_GUIDANCE_CIQ_COL" hidden="1">"c11236"</definedName>
    <definedName name="IQ_EBT_GW_LOW_GUIDANCE_CIQ" hidden="1">"c4627"</definedName>
    <definedName name="IQ_EBT_GW_LOW_GUIDANCE_CIQ_COL" hidden="1">"c11276"</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_CIQ" hidden="1">"c4875"</definedName>
    <definedName name="IQ_EBT_SBC_ACT_OR_EST_CIQ_COL" hidden="1">"c11522"</definedName>
    <definedName name="IQ_EBT_SBC_GUIDANCE" hidden="1">"c4351"</definedName>
    <definedName name="IQ_EBT_SBC_GUIDANCE_CIQ" hidden="1">"c4876"</definedName>
    <definedName name="IQ_EBT_SBC_GUIDANCE_CIQ_COL" hidden="1">"c11523"</definedName>
    <definedName name="IQ_EBT_SBC_GW_ACT_OR_EST_CIQ" hidden="1">"c4879"</definedName>
    <definedName name="IQ_EBT_SBC_GW_ACT_OR_EST_CIQ_COL" hidden="1">"c11526"</definedName>
    <definedName name="IQ_EBT_SBC_GW_GUIDANCE" hidden="1">"c4355"</definedName>
    <definedName name="IQ_EBT_SBC_GW_GUIDANCE_CIQ" hidden="1">"c4880"</definedName>
    <definedName name="IQ_EBT_SBC_GW_GUIDANCE_CIQ_COL" hidden="1">"c11527"</definedName>
    <definedName name="IQ_EBT_SBC_GW_HIGH_GUIDANCE" hidden="1">"c4191"</definedName>
    <definedName name="IQ_EBT_SBC_GW_HIGH_GUIDANCE_CIQ" hidden="1">"c4603"</definedName>
    <definedName name="IQ_EBT_SBC_GW_HIGH_GUIDANCE_CIQ_COL" hidden="1">"c11252"</definedName>
    <definedName name="IQ_EBT_SBC_GW_LOW_GUIDANCE" hidden="1">"c4231"</definedName>
    <definedName name="IQ_EBT_SBC_GW_LOW_GUIDANCE_CIQ" hidden="1">"c4643"</definedName>
    <definedName name="IQ_EBT_SBC_GW_LOW_GUIDANCE_CIQ_COL" hidden="1">"c11292"</definedName>
    <definedName name="IQ_EBT_SBC_HIGH_GUIDANCE" hidden="1">"c4190"</definedName>
    <definedName name="IQ_EBT_SBC_HIGH_GUIDANCE_CIQ" hidden="1">"c4602"</definedName>
    <definedName name="IQ_EBT_SBC_HIGH_GUIDANCE_CIQ_COL" hidden="1">"c11251"</definedName>
    <definedName name="IQ_EBT_SBC_LOW_GUIDANCE" hidden="1">"c4230"</definedName>
    <definedName name="IQ_EBT_SBC_LOW_GUIDANCE_CIQ" hidden="1">"c4642"</definedName>
    <definedName name="IQ_EBT_SBC_LOW_GUIDANCE_CIQ_COL" hidden="1">"c11291"</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"c16242"</definedName>
    <definedName name="IQ_ECS_NUM_SHAREHOLDERS_ABS" hidden="1">"c16243"</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EXCL_GUIDANCE_CIQ" hidden="1">"c4893"</definedName>
    <definedName name="IQ_EPS_EXCL_GUIDANCE_CIQ_COL" hidden="1">"c11540"</definedName>
    <definedName name="IQ_EPS_EXCL_HIGH_GUIDANCE_CIQ" hidden="1">"c4894"</definedName>
    <definedName name="IQ_EPS_EXCL_HIGH_GUIDANCE_CIQ_COL" hidden="1">"c11541"</definedName>
    <definedName name="IQ_EPS_EXCL_LOW_GUIDANCE_CIQ" hidden="1">"c4616"</definedName>
    <definedName name="IQ_EPS_EXCL_LOW_GUIDANCE_CIQ_COL" hidden="1">"c11265"</definedName>
    <definedName name="IQ_EPS_GAAP_GUIDANCE_CIQ" hidden="1">"c4895"</definedName>
    <definedName name="IQ_EPS_GAAP_GUIDANCE_CIQ_COL" hidden="1">"c11542"</definedName>
    <definedName name="IQ_EPS_GAAP_HIGH_GUIDANCE_CIQ" hidden="1">"c4896"</definedName>
    <definedName name="IQ_EPS_GAAP_HIGH_GUIDANCE_CIQ_COL" hidden="1">"c11543"</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ACT_OR_EST_CIQ_COL" hidden="1">"c11548"</definedName>
    <definedName name="IQ_EPS_SBC_GUIDANCE" hidden="1">"c4377"</definedName>
    <definedName name="IQ_EPS_SBC_GUIDANCE_CIQ" hidden="1">"c4902"</definedName>
    <definedName name="IQ_EPS_SBC_GUIDANCE_CIQ_COL" hidden="1">"c11549"</definedName>
    <definedName name="IQ_EPS_SBC_GW_ACT_OR_EST_CIQ" hidden="1">"c4905"</definedName>
    <definedName name="IQ_EPS_SBC_GW_ACT_OR_EST_CIQ_COL" hidden="1">"c11552"</definedName>
    <definedName name="IQ_EPS_SBC_GW_GUIDANCE" hidden="1">"c4381"</definedName>
    <definedName name="IQ_EPS_SBC_GW_GUIDANCE_CIQ" hidden="1">"c4906"</definedName>
    <definedName name="IQ_EPS_SBC_GW_GUIDANCE_CIQ_COL" hidden="1">"c11553"</definedName>
    <definedName name="IQ_EPS_SBC_GW_HIGH_GUIDANCE" hidden="1">"c4189"</definedName>
    <definedName name="IQ_EPS_SBC_GW_HIGH_GUIDANCE_CIQ" hidden="1">"c4601"</definedName>
    <definedName name="IQ_EPS_SBC_GW_HIGH_GUIDANCE_CIQ_COL" hidden="1">"c11250"</definedName>
    <definedName name="IQ_EPS_SBC_GW_LOW_GUIDANCE" hidden="1">"c4229"</definedName>
    <definedName name="IQ_EPS_SBC_GW_LOW_GUIDANCE_CIQ" hidden="1">"c4641"</definedName>
    <definedName name="IQ_EPS_SBC_GW_LOW_GUIDANCE_CIQ_COL" hidden="1">"c11290"</definedName>
    <definedName name="IQ_EPS_SBC_HIGH_GUIDANCE" hidden="1">"c4188"</definedName>
    <definedName name="IQ_EPS_SBC_HIGH_GUIDANCE_CIQ" hidden="1">"c4600"</definedName>
    <definedName name="IQ_EPS_SBC_HIGH_GUIDANCE_CIQ_COL" hidden="1">"c11249"</definedName>
    <definedName name="IQ_EPS_SBC_LOW_GUIDANCE" hidden="1">"c4228"</definedName>
    <definedName name="IQ_EPS_SBC_LOW_GUIDANCE_CIQ" hidden="1">"c4640"</definedName>
    <definedName name="IQ_EPS_SBC_LOW_GUIDANCE_CIQ_COL" hidden="1">"c11289"</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QUARTERLY_AVG_FFIEC" hidden="1">"c13092"</definedName>
    <definedName name="IQ_EQUITY_ENDING_FFIEC" hidden="1">"c12973"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QUARTERLY_AVG_FFIEC" hidden="1">"c15474"</definedName>
    <definedName name="IQ_EQUITY_SECURITIES_WITHOUT_FAIR_VALUES_FFIEC" hidden="1">"c12846"</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DISTRIBUTABLE_CASH_CIQ_COL" hidden="1">"c11568"</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FFO_CIQ_COL" hidden="1">"c11579"</definedName>
    <definedName name="IQ_EST_ACT_REV" hidden="1">"c2113"</definedName>
    <definedName name="IQ_EST_ACT_REV_CIQ" hidden="1">"c3666"</definedName>
    <definedName name="IQ_EST_CASH_FLOW_DIFF_CIQ_COL" hidden="1">"c11213"</definedName>
    <definedName name="IQ_EST_CASH_FLOW_SURPRISE_PERCENT_CIQ_COL" hidden="1">"c11222"</definedName>
    <definedName name="IQ_EST_CASH_OPER_DIFF_CIQ_COL" hidden="1">"c11223"</definedName>
    <definedName name="IQ_EST_CASH_OPER_SURPRISE_PERCENT_CIQ_COL" hidden="1">"c11421"</definedName>
    <definedName name="IQ_EST_CURRENCY" hidden="1">"c2140"</definedName>
    <definedName name="IQ_EST_CURRENCY_CIQ" hidden="1">"c4769"</definedName>
    <definedName name="IQ_EST_DATE" hidden="1">"c1634"</definedName>
    <definedName name="IQ_EST_DATE_CIQ" hidden="1">"c4770"</definedName>
    <definedName name="IQ_EST_DISTRIBUTABLE_CASH_DIFF_CIQ_COL" hidden="1">"c11448"</definedName>
    <definedName name="IQ_EST_DISTRIBUTABLE_CASH_GROWTH_1YR_CIQ_COL" hidden="1">"c11585"</definedName>
    <definedName name="IQ_EST_DISTRIBUTABLE_CASH_GROWTH_2YR_CIQ_COL" hidden="1">"c11586"</definedName>
    <definedName name="IQ_EST_DISTRIBUTABLE_CASH_GROWTH_Q_1YR_CIQ_COL" hidden="1">"c11587"</definedName>
    <definedName name="IQ_EST_DISTRIBUTABLE_CASH_SEQ_GROWTH_Q_CIQ_COL" hidden="1">"c11588"</definedName>
    <definedName name="IQ_EST_DISTRIBUTABLE_CASH_SHARE_DIFF_CIQ_COL" hidden="1">"c11456"</definedName>
    <definedName name="IQ_EST_DISTRIBUTABLE_CASH_SHARE_GROWTH_1YR_CIQ_COL" hidden="1">"c11589"</definedName>
    <definedName name="IQ_EST_DISTRIBUTABLE_CASH_SHARE_GROWTH_2YR_CIQ_COL" hidden="1">"c11590"</definedName>
    <definedName name="IQ_EST_DISTRIBUTABLE_CASH_SHARE_GROWTH_Q_1YR_CIQ_COL" hidden="1">"c11591"</definedName>
    <definedName name="IQ_EST_DISTRIBUTABLE_CASH_SHARE_SEQ_GROWTH_Q_CIQ_COL" hidden="1">"c11592"</definedName>
    <definedName name="IQ_EST_DISTRIBUTABLE_CASH_SHARE_SURPRISE_PERCENT_CIQ_COL" hidden="1">"c11465"</definedName>
    <definedName name="IQ_EST_DISTRIBUTABLE_CASH_SURPRISE_PERCENT_CIQ_COL" hidden="1">"c11467"</definedName>
    <definedName name="IQ_EST_EBIT_GW_DIFF_CIQ_COL" hidden="1">"c11476"</definedName>
    <definedName name="IQ_EST_EBIT_GW_SURPRISE_PERCENT_CIQ_COL" hidden="1">"c11485"</definedName>
    <definedName name="IQ_EST_EBIT_SBC_DIFF_CIQ_COL" hidden="1">"c11486"</definedName>
    <definedName name="IQ_EST_EBIT_SBC_GW_DIFF_CIQ_COL" hidden="1">"c11490"</definedName>
    <definedName name="IQ_EST_EBIT_SBC_GW_SURPRISE_PERCENT_CIQ_COL" hidden="1">"c11499"</definedName>
    <definedName name="IQ_EST_EBIT_SBC_SURPRISE_PERCENT_CIQ_COL" hidden="1">"c11505"</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BC_DIFF_CIQ_COL" hidden="1">"c11507"</definedName>
    <definedName name="IQ_EST_EBITDA_SBC_SURPRISE_PERCENT_CIQ_COL" hidden="1">"c11516"</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BT_SBC_DIFF_CIQ_COL" hidden="1">"c11520"</definedName>
    <definedName name="IQ_EST_EBT_SBC_GW_DIFF_CIQ_COL" hidden="1">"c11524"</definedName>
    <definedName name="IQ_EST_EBT_SBC_GW_SURPRISE_PERCENT_CIQ_COL" hidden="1">"c11533"</definedName>
    <definedName name="IQ_EST_EBT_SBC_SURPRISE_PERCENT_CIQ_COL" hidden="1">"c11539"</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BC_DIFF_CIQ_COL" hidden="1">"c11546"</definedName>
    <definedName name="IQ_EST_EPS_SBC_GW_DIFF_CIQ_COL" hidden="1">"c11550"</definedName>
    <definedName name="IQ_EST_EPS_SBC_GW_SURPRISE_PERCENT_CIQ_COL" hidden="1">"c11559"</definedName>
    <definedName name="IQ_EST_EPS_SBC_SURPRISE_PERCENT_CIQ_COL" hidden="1">"c11565"</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FO_ADJ_DIFF_CIQ_COL" hidden="1">"c11605"</definedName>
    <definedName name="IQ_EST_FFO_ADJ_GROWTH_1YR_CIQ_COL" hidden="1">"c11593"</definedName>
    <definedName name="IQ_EST_FFO_ADJ_GROWTH_2YR_CIQ_COL" hidden="1">"c11594"</definedName>
    <definedName name="IQ_EST_FFO_ADJ_GROWTH_Q_1YR_CIQ_COL" hidden="1">"c11595"</definedName>
    <definedName name="IQ_EST_FFO_ADJ_SEQ_GROWTH_Q_CIQ_COL" hidden="1">"c11596"</definedName>
    <definedName name="IQ_EST_FFO_ADJ_SURPRISE_PERCENT_CIQ_COL" hidden="1">"c11614"</definedName>
    <definedName name="IQ_EST_FFO_DIFF_CIQ_COL" hidden="1">"c11616"</definedName>
    <definedName name="IQ_EST_FFO_GROWTH_1YR_CIQ_COL" hidden="1">"c11597"</definedName>
    <definedName name="IQ_EST_FFO_GROWTH_2YR_CIQ_COL" hidden="1">"c11598"</definedName>
    <definedName name="IQ_EST_FFO_GROWTH_Q_1YR_CIQ_COL" hidden="1">"c11599"</definedName>
    <definedName name="IQ_EST_FFO_SEQ_GROWTH_Q_CIQ_COL" hidden="1">"c11600"</definedName>
    <definedName name="IQ_EST_FFO_SURPRISE_PERCENT_CIQ_COL" hidden="1">"c11629"</definedName>
    <definedName name="IQ_EST_FOOTNOTE" hidden="1">"c4540"</definedName>
    <definedName name="IQ_EST_FOOTNOTE_CIQ" hidden="1">"c12022"</definedName>
    <definedName name="IQ_EST_MAINT_CAPEX_DIFF_CIQ_COL" hidden="1">"c11632"</definedName>
    <definedName name="IQ_EST_MAINT_CAPEX_GROWTH_1YR_CIQ_COL" hidden="1">"c11601"</definedName>
    <definedName name="IQ_EST_MAINT_CAPEX_GROWTH_2YR_CIQ_COL" hidden="1">"c11602"</definedName>
    <definedName name="IQ_EST_MAINT_CAPEX_GROWTH_Q_1YR_CIQ_COL" hidden="1">"c11603"</definedName>
    <definedName name="IQ_EST_MAINT_CAPEX_SEQ_GROWTH_Q_CIQ_COL" hidden="1">"c11604"</definedName>
    <definedName name="IQ_EST_MAINT_CAPEX_SURPRISE_PERCENT_CIQ_COL" hidden="1">"c11650"</definedName>
    <definedName name="IQ_EST_NEXT_EARNINGS_DATE" hidden="1">"c13591"</definedName>
    <definedName name="IQ_EST_NI_SBC_DIFF_CIQ_COL" hidden="1">"c11657"</definedName>
    <definedName name="IQ_EST_NI_SBC_GW_DIFF_CIQ_COL" hidden="1">"c11661"</definedName>
    <definedName name="IQ_EST_NI_SBC_GW_SURPRISE_PERCENT_CIQ_COL" hidden="1">"c11670"</definedName>
    <definedName name="IQ_EST_NI_SBC_SURPRISE_PERCENT_CIQ_COL" hidden="1">"c11676"</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PERIOD_ID" hidden="1">"c13923"</definedName>
    <definedName name="IQ_EST_RECURRING_PROFIT_SHARE_DIFF_CIQ_COL" hidden="1">"c11690"</definedName>
    <definedName name="IQ_EST_RECURRING_PROFIT_SHARE_SURPRISE_PERCENT_CIQ_COL" hidden="1">"c11700"</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IN_INSTRUMENTS_NAV" hidden="1">"c16002"</definedName>
    <definedName name="IQ_FAIR_VALUE_FIN_INSTRUMENTS_NNAV" hidden="1">"c16006"</definedName>
    <definedName name="IQ_FAIR_VALUE_TRADING_PROP" hidden="1">"c16001"</definedName>
    <definedName name="IQ_FARM_LOANS_TOT_LOANS_FFIEC" hidden="1">"c13870"</definedName>
    <definedName name="IQ_FARMLAND_DOM_FFIEC" hidden="1">"c15268"</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QUARTERLY_AVG_FFIEC" hidden="1">"c13090"</definedName>
    <definedName name="IQ_FED_FUNDS_SOLD_DOM_FFIEC" hidden="1">"c12806"</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DJ_ACT_OR_EST_CIQ" hidden="1">"c4960"</definedName>
    <definedName name="IQ_FFO_ADJ_ACT_OR_EST_CIQ_COL" hidden="1">"c11607"</definedName>
    <definedName name="IQ_FFO_ADJ_GUIDANCE_CIQ" hidden="1">"c4961"</definedName>
    <definedName name="IQ_FFO_ADJ_GUIDANCE_CIQ_COL" hidden="1">"c11608"</definedName>
    <definedName name="IQ_FFO_ADJ_HIGH_GUIDANCE_CIQ" hidden="1">"c4614"</definedName>
    <definedName name="IQ_FFO_ADJ_HIGH_GUIDANCE_CIQ_COL" hidden="1">"c11263"</definedName>
    <definedName name="IQ_FFO_ADJ_LOW_GUIDANCE_CIQ" hidden="1">"c4654"</definedName>
    <definedName name="IQ_FFO_ADJ_LOW_GUIDANCE_CIQ_COL" hidden="1">"c11303"</definedName>
    <definedName name="IQ_FFO_DILUTED" hidden="1">"c16186"</definedName>
    <definedName name="IQ_FFO_EST_CIQ_COL" hidden="1">"c11617"</definedName>
    <definedName name="IQ_FFO_GUIDANCE_CIQ" hidden="1">"c4968"</definedName>
    <definedName name="IQ_FFO_GUIDANCE_CIQ_COL" hidden="1">"c11615"</definedName>
    <definedName name="IQ_FFO_HIGH_EST_CIQ_COL" hidden="1">"c11624"</definedName>
    <definedName name="IQ_FFO_HIGH_GUIDANCE_CIQ" hidden="1">"c4596"</definedName>
    <definedName name="IQ_FFO_HIGH_GUIDANCE_CIQ_COL" hidden="1">"c11245"</definedName>
    <definedName name="IQ_FFO_LOW_EST_CIQ_COL" hidden="1">"c11625"</definedName>
    <definedName name="IQ_FFO_LOW_GUIDANCE_CIQ" hidden="1">"c4636"</definedName>
    <definedName name="IQ_FFO_LOW_GUIDANCE_CIQ_COL" hidden="1">"c11285"</definedName>
    <definedName name="IQ_FFO_MEDIAN_EST_CIQ_COL" hidden="1">"c11626"</definedName>
    <definedName name="IQ_FFO_NUM_EST_CIQ_COL" hidden="1">"c11627"</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FO_SHARE_ACT_OR_EST_CIQ_COL" hidden="1">"c11618"</definedName>
    <definedName name="IQ_FFO_SHARE_GUIDANCE_CIQ" hidden="1">"c4976"</definedName>
    <definedName name="IQ_FFO_SHARE_GUIDANCE_CIQ_COL" hidden="1">"c11623"</definedName>
    <definedName name="IQ_FFO_SHARE_HIGH_GUIDANCE_CIQ" hidden="1">"c4615"</definedName>
    <definedName name="IQ_FFO_SHARE_HIGH_GUIDANCE_CIQ_COL" hidden="1">"c11264"</definedName>
    <definedName name="IQ_FFO_SHARE_LOW_GUIDANCE_CIQ" hidden="1">"c4655"</definedName>
    <definedName name="IQ_FFO_SHARE_LOW_GUIDANCE_CIQ_COL" hidden="1">"c11304"</definedName>
    <definedName name="IQ_FFO_SHARES_BASIC" hidden="1">"c16185"</definedName>
    <definedName name="IQ_FFO_SHARES_DILUTED" hidden="1">"c16187"</definedName>
    <definedName name="IQ_FFO_STDDEV_EST_CIQ_COL" hidden="1">"c11628"</definedName>
    <definedName name="IQ_FFO_TOTAL_REVENUE" hidden="1">"c16060"</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INCOME_OPERATING_INC_FFIEC" hidden="1">"c13383"</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Y" hidden="1">"c441"</definedName>
    <definedName name="IQ_FISCAL_Y_EST" hidden="1">"c6795"</definedName>
    <definedName name="IQ_FISCAL_Y_EST_CIQ" hidden="1">"c6807"</definedName>
    <definedName name="IQ_FISCAL_Y_EST_CIQ_COL" hidden="1">"c11742"</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ORECLOSED_PROP_GNMA_LOANS_FFIEC" hidden="1">"c15272"</definedName>
    <definedName name="IQ_FOREIGN_BANKS_DUE_30_89_FFIEC" hidden="1">"c13269"</definedName>
    <definedName name="IQ_FOREIGN_BANKS_DUE_90_FFIEC" hidden="1">"c13295"</definedName>
    <definedName name="IQ_FOREIGN_BANKS_NON_ACCRUAL_FFIEC" hidden="1">"c13321"</definedName>
    <definedName name="IQ_FOREIGN_DEP_IB" hidden="1">"c446"</definedName>
    <definedName name="IQ_FOREIGN_DEP_NON_IB" hidden="1">"c447"</definedName>
    <definedName name="IQ_FOREIGN_DEPOSITS_ASSETS_TOT_FFIEC" hidden="1">"c13445"</definedName>
    <definedName name="IQ_FOREIGN_DEPOSITS_TOT_FFIEC" hidden="1">"c13486"</definedName>
    <definedName name="IQ_FOREIGN_DEPOSITS_TOTAL_DEPOSITS" hidden="1">"c15719"</definedName>
    <definedName name="IQ_FOREIGN_EXCHANGE" hidden="1">"c1376"</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FIEC" hidden="1">"c13125"</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OODWILL_FFIEC" hidden="1">"c12836"</definedName>
    <definedName name="IQ_GOODWILL_IMPAIRMENT_FFIEC" hidden="1">"c13025"</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OME_CHECKS_FFIEC" hidden="1">"c13040"</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GROSS_LOANS_FFIEC" hidden="1">"c13411"</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UR_RECEIV" hidden="1">"c1600"</definedName>
    <definedName name="IQ_INSURANCE_REINSURANCE_UNDERWRITING_INCOME_FFIEC" hidden="1">"c13008"</definedName>
    <definedName name="IQ_INSURANCE_REV_OPERATING_INC_FFIEC" hidden="1">"c13387"</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UTI" hidden="1">"c592"</definedName>
    <definedName name="IQ_INT_EXPENSE_AVG_ASSET" hidden="1">"c15705"</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INC_AVG_ASSETS_FFIEC" hidden="1">"c13356"</definedName>
    <definedName name="IQ_INT_INC_BR" hidden="1">"c593"</definedName>
    <definedName name="IQ_INT_INC_DUE_DEPOSITORY_INSTITUTIONS_FFIEC" hidden="1">"c12981"</definedName>
    <definedName name="IQ_INT_INC_EARNING_ASSETS_FFIEC" hidden="1">"c13375"</definedName>
    <definedName name="IQ_INT_INC_FED_FUNDS_SOLD_FFIEC" hidden="1">"c12987"</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Q" hidden="1">500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DOM_FFIEC" hidden="1">"c12915"</definedName>
    <definedName name="IQ_LEASE_FINANCING_RECEIVABLES_QUARTERLY_AVG_FFIEC" hidden="1">"c15483"</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"c16172"</definedName>
    <definedName name="IQ_LICENSED_WIRELESS_POPS" hidden="1">"c2123"</definedName>
    <definedName name="IQ_LIFE_EARNED" hidden="1">"c2739"</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LEASE_RECEIV" hidden="1">"c657"</definedName>
    <definedName name="IQ_LOAN_LOSS" hidden="1">"c1386"</definedName>
    <definedName name="IQ_LOAN_LOSS_ALLOWANCE_NON_PERF_ASSETS_FFIEC" hidden="1">"c13912"</definedName>
    <definedName name="IQ_LOAN_LOSS_PROVISION_FOREIGN_FFIEC" hidden="1">"c15382"</definedName>
    <definedName name="IQ_LOAN_LOSSES_AVERAGE_LOANS_FFIEC" hidden="1">"c13350"</definedName>
    <definedName name="IQ_LOAN_SERVICE_REV" hidden="1">"c658"</definedName>
    <definedName name="IQ_LOANS_AGRICULTURAL_PROD_LL_REC_FFIEC" hidden="1">"c12886"</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INDIVIDUALS_FOREIGN_FFIEC" hidden="1">"c13480"</definedName>
    <definedName name="IQ_LOANS_LEASES_ASSETS_TOT_FFIEC" hidden="1">"c13437"</definedName>
    <definedName name="IQ_LOANS_LEASES_FAIR_VALUE_TOT_FFIEC" hidden="1">"c13209"</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CONSTRUCTION_TRADING_DOM_FFIEC" hidden="1">"c12925"</definedName>
    <definedName name="IQ_LOANS_SECURED_FARMLAND_TRADING_DOM_FFIEC" hidden="1">"c12926"</definedName>
    <definedName name="IQ_LOANS_SECURED_RE_DOM_QUARTERLY_AVG_FFIEC" hidden="1">"c13083"</definedName>
    <definedName name="IQ_LOANS_SECURED_RE_FFIEC" hidden="1">"c12820"</definedName>
    <definedName name="IQ_LOANS_SECURED_RE_LL_REC_FFIEC" hidden="1">"c12883"</definedName>
    <definedName name="IQ_LOANS_US_INST_CHARGE_OFFS_FFIEC" hidden="1">"c13175"</definedName>
    <definedName name="IQ_LOANS_US_INST_RECOV_FFIEC" hidden="1">"c13197"</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_CIQ" hidden="1">"c4987"</definedName>
    <definedName name="IQ_MAINT_CAPEX_ACT_OR_EST_CIQ_COL" hidden="1">"c11634"</definedName>
    <definedName name="IQ_MAINT_CAPEX_GUIDANCE_CIQ" hidden="1">"c4988"</definedName>
    <definedName name="IQ_MAINT_CAPEX_GUIDANCE_CIQ_COL" hidden="1">"c11635"</definedName>
    <definedName name="IQ_MAINT_CAPEX_HIGH_GUIDANCE_CIQ" hidden="1">"c4609"</definedName>
    <definedName name="IQ_MAINT_CAPEX_HIGH_GUIDANCE_CIQ_COL" hidden="1">"c11258"</definedName>
    <definedName name="IQ_MAINT_CAPEX_LOW_GUIDANCE_CIQ" hidden="1">"c4649"</definedName>
    <definedName name="IQ_MAINT_CAPEX_LOW_GUIDANCE_CIQ_COL" hidden="1">"c11298"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KT_DEPOSITS_TOTAL_DEPOSITS" hidden="1">"c15720"</definedName>
    <definedName name="IQ_MONEY_MKT_SAVINGS_ACCT_DEPOSITS_TOTAL_DEPOSITS" hidden="1">"c15722"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DEBT_UNDER_CAPITAL_LEASES_FFIEC" hidden="1">"c15276"</definedName>
    <definedName name="IQ_MORTGAGE_SERV_RIGHTS" hidden="1">"c2242"</definedName>
    <definedName name="IQ_MORTGAGE_SERVICING_ASSETS_FFIEC" hidden="1">"c12838"</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LIST" hidden="1">"c19092"</definedName>
    <definedName name="IQ_NAMES_REVISION_DATE_" hidden="1">"05/19/2014 07:53:35"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RE" hidden="1">"c15996"</definedName>
    <definedName name="IQ_NAV_SHARE_RE" hidden="1">"c16011"</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CIQ_COL" hidden="1">"c11717"</definedName>
    <definedName name="IQ_NET_DEBT_EBITDA" hidden="1">"c750"</definedName>
    <definedName name="IQ_NET_DEBT_EBITDA_CAPEX" hidden="1">"c2949"</definedName>
    <definedName name="IQ_NET_DEBT_GUIDANCE_CIQ" hidden="1">"c5005"</definedName>
    <definedName name="IQ_NET_DEBT_GUIDANCE_CIQ_COL" hidden="1">"c11652"</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GUIDANCE_CIQ" hidden="1">"c4633"</definedName>
    <definedName name="IQ_NET_DEBT_LOW_GUIDANCE_CIQ_COL" hidden="1">"c11282"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TOTAL_DEPOSITS" hidden="1">"c779"</definedName>
    <definedName name="IQ_NET_LOSSES" hidden="1">"c15873"</definedName>
    <definedName name="IQ_NET_NONINTEREST_INC_EXP_INTERNATIONAL_OPS_FFIEC" hidden="1">"c15387"</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CIQ_COL" hidden="1">"c11712"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GAAP_GUIDANCE_CIQ" hidden="1">"c5008"</definedName>
    <definedName name="IQ_NI_GAAP_GUIDANCE_CIQ_COL" hidden="1">"c11655"</definedName>
    <definedName name="IQ_NI_GAAP_HIGH_GUIDANCE_CIQ" hidden="1">"c4589"</definedName>
    <definedName name="IQ_NI_GAAP_HIGH_GUIDANCE_CIQ_COL" hidden="1">"c11238"</definedName>
    <definedName name="IQ_NI_GAAP_LOW_GUIDANCE_CIQ" hidden="1">"c4629"</definedName>
    <definedName name="IQ_NI_GAAP_LOW_GUIDANCE_CIQ_COL" hidden="1">"c11278"</definedName>
    <definedName name="IQ_NI_GUIDANCE_CIQ" hidden="1">"c5007"</definedName>
    <definedName name="IQ_NI_GUIDANCE_CIQ_COL" hidden="1">"c11654"</definedName>
    <definedName name="IQ_NI_GW_GUIDANCE_CIQ" hidden="1">"c5009"</definedName>
    <definedName name="IQ_NI_GW_GUIDANCE_CIQ_COL" hidden="1">"c11656"</definedName>
    <definedName name="IQ_NI_GW_HIGH_GUIDANCE_CIQ" hidden="1">"c4590"</definedName>
    <definedName name="IQ_NI_GW_HIGH_GUIDANCE_CIQ_COL" hidden="1">"c11239"</definedName>
    <definedName name="IQ_NI_GW_LOW_GUIDANCE_CIQ" hidden="1">"c4630"</definedName>
    <definedName name="IQ_NI_GW_LOW_GUIDANCE_CIQ_COL" hidden="1">"c11279"</definedName>
    <definedName name="IQ_NI_HIGH_GUIDANCE_CIQ" hidden="1">"c4588"</definedName>
    <definedName name="IQ_NI_HIGH_GUIDANCE_CIQ_COL" hidden="1">"c11237"</definedName>
    <definedName name="IQ_NI_LOW_GUIDANCE_CIQ" hidden="1">"c4628"</definedName>
    <definedName name="IQ_NI_LOW_GUIDANCE_CIQ_COL" hidden="1">"c11277"</definedName>
    <definedName name="IQ_NI_MARGIN" hidden="1">"c794"</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_CIQ" hidden="1">"c5012"</definedName>
    <definedName name="IQ_NI_SBC_ACT_OR_EST_CIQ_COL" hidden="1">"c11659"</definedName>
    <definedName name="IQ_NI_SBC_GUIDANCE" hidden="1">"c4475"</definedName>
    <definedName name="IQ_NI_SBC_GUIDANCE_CIQ" hidden="1">"c5013"</definedName>
    <definedName name="IQ_NI_SBC_GUIDANCE_CIQ_COL" hidden="1">"c11660"</definedName>
    <definedName name="IQ_NI_SBC_GW_ACT_OR_EST_CIQ" hidden="1">"c5016"</definedName>
    <definedName name="IQ_NI_SBC_GW_ACT_OR_EST_CIQ_COL" hidden="1">"c11663"</definedName>
    <definedName name="IQ_NI_SBC_GW_GUIDANCE" hidden="1">"c4479"</definedName>
    <definedName name="IQ_NI_SBC_GW_GUIDANCE_CIQ" hidden="1">"c5017"</definedName>
    <definedName name="IQ_NI_SBC_GW_GUIDANCE_CIQ_COL" hidden="1">"c11664"</definedName>
    <definedName name="IQ_NI_SBC_GW_HIGH_GUIDANCE" hidden="1">"c4187"</definedName>
    <definedName name="IQ_NI_SBC_GW_HIGH_GUIDANCE_CIQ" hidden="1">"c4599"</definedName>
    <definedName name="IQ_NI_SBC_GW_HIGH_GUIDANCE_CIQ_COL" hidden="1">"c11248"</definedName>
    <definedName name="IQ_NI_SBC_GW_LOW_GUIDANCE" hidden="1">"c4227"</definedName>
    <definedName name="IQ_NI_SBC_GW_LOW_GUIDANCE_CIQ" hidden="1">"c4639"</definedName>
    <definedName name="IQ_NI_SBC_GW_LOW_GUIDANCE_CIQ_COL" hidden="1">"c11288"</definedName>
    <definedName name="IQ_NI_SBC_HIGH_GUIDANCE" hidden="1">"c4186"</definedName>
    <definedName name="IQ_NI_SBC_HIGH_GUIDANCE_CIQ" hidden="1">"c4598"</definedName>
    <definedName name="IQ_NI_SBC_HIGH_GUIDANCE_CIQ_COL" hidden="1">"c11247"</definedName>
    <definedName name="IQ_NI_SBC_LOW_GUIDANCE" hidden="1">"c4226"</definedName>
    <definedName name="IQ_NI_SBC_LOW_GUIDANCE_CIQ" hidden="1">"c4638"</definedName>
    <definedName name="IQ_NI_SBC_LOW_GUIDANCE_CIQ_COL" hidden="1">"c11287"</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CASH_INCOME_AMORT_CLOSED_END_LOANS_FFIEC" hidden="1">"c13078"</definedName>
    <definedName name="IQ_NONCASH_PENSION_EXP" hidden="1">"c3000"</definedName>
    <definedName name="IQ_NONCORE_ASSETS_TOT_FFIEC" hidden="1">"c13443"</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CASH_FFIEC" hidden="1">"c12774"</definedName>
    <definedName name="IQ_NONINTEREST_INC_FOREIGN_FFIEC" hidden="1">"c15376"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T_DERIVATIVES_BENEFICIARY_FFIEC" hidden="1">"c13118"</definedName>
    <definedName name="IQ_NOTIONAL_AMT_DERIVATIVES_GUARANTOR_FFIEC" hidden="1">"c13111"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FFIEC" hidden="1">"c12831"</definedName>
    <definedName name="IQ_OREO_FOREIGN_FFIEC" hidden="1">"c15273"</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DUE_30_89_FFIEC" hidden="1">"c13275"</definedName>
    <definedName name="IQ_OTHER_LOANS_DUE_90_FFIEC" hidden="1">"c13301"</definedName>
    <definedName name="IQ_OTHER_LOANS_FFIEC" hidden="1">"c12825"</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L_REC_DOM_FFIEC" hidden="1">"c12914"</definedName>
    <definedName name="IQ_OTHER_LOANS_NON_ACCRUAL_FFIEC" hidden="1">"c13327"</definedName>
    <definedName name="IQ_OTHER_LOANS_RISK_BASED_FFIEC" hidden="1">"c13435"</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FIEC" hidden="1">"c13027"</definedName>
    <definedName name="IQ_OTHER_NON_INT_EXP_TOTAL" hidden="1">"c954"</definedName>
    <definedName name="IQ_OTHER_NON_INT_INC" hidden="1">"c955"</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UNDRAWN" hidden="1">"c2522"</definedName>
    <definedName name="IQ_OTHER_UNITS" hidden="1">"c8772"</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S_ACCEPTANCES_FFIEC" hidden="1">"c13254"</definedName>
    <definedName name="IQ_PARTNERSHIP_INC_RE" hidden="1">"c12039"</definedName>
    <definedName name="IQ_PASS_THROUGH_FNMA_GNMA_TRADING_FFIEC" hidden="1">"c12816"</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"c16170"</definedName>
    <definedName name="IQ_POSTPAID_SUBS" hidden="1">"c16167"</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CIQ_COL" hidden="1">"c11711"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LIST" hidden="1">"c13506"</definedName>
    <definedName name="IQ_PREMISES_FIXED_ASSETS_CAP_LEASES_FFIEC" hidden="1">"c12830"</definedName>
    <definedName name="IQ_PREMIUM_INSURANCE_CREDIT_FFIEC" hidden="1">"c13070"</definedName>
    <definedName name="IQ_PREMIUMS_ANNUITY_REV" hidden="1">"c1067"</definedName>
    <definedName name="IQ_PREPAID_CHURN" hidden="1">"c16169"</definedName>
    <definedName name="IQ_PREPAID_EXP" hidden="1">"c1068"</definedName>
    <definedName name="IQ_PREPAID_EXPEN" hidden="1">"c1418"</definedName>
    <definedName name="IQ_PREPAID_SUBS" hidden="1">"c16166"</definedName>
    <definedName name="IQ_PRESIDENT_ID" hidden="1">"c15216"</definedName>
    <definedName name="IQ_PRESIDENT_NAME" hidden="1">"c15215"</definedName>
    <definedName name="IQ_PRETAX_INC_AFTER_CAP_ALLOCATION_FOREIGN_FFIEC" hidden="1">"c15390"</definedName>
    <definedName name="IQ_PRETAX_INC_BEFORE_CAP_ALLOCATION_FOREIGN_FFIEC" hidden="1">"c15388"</definedName>
    <definedName name="IQ_PRETAX_OPERATING_INC_AVG_ASSETS_FFIEC" hidden="1">"c13365"</definedName>
    <definedName name="IQ_PREV_MONTHLY_FACTOR" hidden="1">"c8973"</definedName>
    <definedName name="IQ_PREV_MONTHLY_FACTOR_DATE" hidden="1">"c8974"</definedName>
    <definedName name="IQ_PREVIOUS_TIME_RT" hidden="1">"PREVIOUSLASTTIME"</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_CIQ_COL" hidden="1">"c11677"</definedName>
    <definedName name="IQ_PRICE_VOLATILITY_HIGH_CIQ_COL" hidden="1">"c11678"</definedName>
    <definedName name="IQ_PRICE_VOLATILITY_LOW_CIQ_COL" hidden="1">"c11679"</definedName>
    <definedName name="IQ_PRICE_VOLATILITY_MEDIAN_CIQ_COL" hidden="1">"c11680"</definedName>
    <definedName name="IQ_PRICE_VOLATILITY_NUM_CIQ_COL" hidden="1">"c11681"</definedName>
    <definedName name="IQ_PRICE_VOLATILITY_STDDEV_CIQ_COL" hidden="1">"c11682"</definedName>
    <definedName name="IQ_PRICEDATE" hidden="1">"c1069"</definedName>
    <definedName name="IQ_PRICING_DATE" hidden="1">"c1613"</definedName>
    <definedName name="IQ_PRIMARY_EPS_TYPE" hidden="1">"c4498"</definedName>
    <definedName name="IQ_PRIMARY_EPS_TYPE_CIQ" hidden="1">"c5036"</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TREASURY_FFIEC" hidden="1">"c12966"</definedName>
    <definedName name="IQ_PURCHASED_COAL" hidden="1">"c15934"</definedName>
    <definedName name="IQ_PURCHASED_CREDIT_RELS_SERVICING_ASSETS_FFIEC" hidden="1">"c12839"</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IGN_FFIEC" hidden="1">"c13479"</definedName>
    <definedName name="IQ_RE_GAIN_LOSS_SALE_ASSETS" hidden="1">"c8751"</definedName>
    <definedName name="IQ_RE_LOANS_1_4_GROSS_LOANS_FFIEC" hidden="1">"c13397"</definedName>
    <definedName name="IQ_RE_LOANS_DOM_QUARTERLY_AVG_FFIEC" hidden="1">"c15476"</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AVG_LOANS_FFIEC" hidden="1">"c13476"</definedName>
    <definedName name="IQ_RECURRING_PROFIT_ACT_OR_EST_CIQ" hidden="1">"c5045"</definedName>
    <definedName name="IQ_RECURRING_PROFIT_ACT_OR_EST_CIQ_COL" hidden="1">"c11692"</definedName>
    <definedName name="IQ_RECURRING_PROFIT_GUIDANCE" hidden="1">"c4500"</definedName>
    <definedName name="IQ_RECURRING_PROFIT_GUIDANCE_CIQ" hidden="1">"c5038"</definedName>
    <definedName name="IQ_RECURRING_PROFIT_GUIDANCE_CIQ_COL" hidden="1">"c11685"</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SHARE_ACT_OR_EST_CIQ" hidden="1">"c5046"</definedName>
    <definedName name="IQ_RECURRING_PROFIT_SHARE_ACT_OR_EST_CIQ_COL" hidden="1">"c11693"</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S" hidden="1">"c1116"</definedName>
    <definedName name="IQ_RETURN_ASSETS_GUIDANCE_CIQ" hidden="1">"c5055"</definedName>
    <definedName name="IQ_RETURN_ASSETS_GUIDANCE_CIQ_COL" hidden="1">"c11702"</definedName>
    <definedName name="IQ_RETURN_ASSETS_HIGH_GUIDANCE_CIQ" hidden="1">"c4595"</definedName>
    <definedName name="IQ_RETURN_ASSETS_HIGH_GUIDANCE_CIQ_COL" hidden="1">"c11244"</definedName>
    <definedName name="IQ_RETURN_ASSETS_LOW_GUIDANCE_CIQ" hidden="1">"c4635"</definedName>
    <definedName name="IQ_RETURN_ASSETS_LOW_GUIDANCE_CIQ_COL" hidden="1">"c11284"</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S" hidden="1">"c1121"</definedName>
    <definedName name="IQ_RETURN_EQUITY_GUIDANCE_CIQ" hidden="1">"c5056"</definedName>
    <definedName name="IQ_RETURN_EQUITY_GUIDANCE_CIQ_COL" hidden="1">"c11703"</definedName>
    <definedName name="IQ_RETURN_EQUITY_HIGH_GUIDANCE_CIQ" hidden="1">"c4594"</definedName>
    <definedName name="IQ_RETURN_EQUITY_HIGH_GUIDANCE_CIQ_COL" hidden="1">"c11243"</definedName>
    <definedName name="IQ_RETURN_EQUITY_LOW_GUIDANCE_CIQ" hidden="1">"c4634"</definedName>
    <definedName name="IQ_RETURN_EQUITY_LOW_GUIDANCE_CIQ_COL" hidden="1">"c11283"</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CIQ_COL" hidden="1">"c11706"</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BOTTOM_UP_CIQ" hidden="1">"c12025"</definedName>
    <definedName name="IQ_REVENUE_EST_CIQ" hidden="1">"c3616"</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40291.4128587963</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E_COMMON_GROSS_FFIEC" hidden="1">"c12963"</definedName>
    <definedName name="IQ_SALE_CONVERSION_ACQUISITION_NET_COMMON_FFIEC" hidden="1">"c15351"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DEBT" hidden="1">"c2546"</definedName>
    <definedName name="IQ_SECURED_DEBT_PCT" hidden="1">"c2547"</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MULTI_RES_LL_REC_DOM_FFIEC" hidden="1">"c12905"</definedName>
    <definedName name="IQ_SECURITIES_HELD_MATURITY_FFIEC" hidden="1">"c12777"</definedName>
    <definedName name="IQ_SECURITIES_ISSUED_US_FFIEC" hidden="1">"c12781"</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POLI_SUBD_US_NON_TRANS_ACCTS_FFIEC" hidden="1">"c15324"</definedName>
    <definedName name="IQ_STATES_POLI_SUBD_US_TRANS_ACCTS_FFIEC" hidden="1">"c15316"</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FIEC" hidden="1">"c12877"</definedName>
    <definedName name="IQ_SVA" hidden="1">"c1214"</definedName>
    <definedName name="IQ_SYMBOL_RT" hidden="1">"SYMBOL"</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MORE_100K_OTHER_INSTITUTIONS_FFIEC" hidden="1">"c12954"</definedName>
    <definedName name="IQ_TIME_DEPOSITS_MORE_100K_TOT_DEPOSITS_FFIEC" hidden="1">"c13906"</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URN" hidden="1">"c16171"</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GUIDANCE" hidden="1">"c4236"</definedName>
    <definedName name="IQ_TOTAL_DEBT_LOW_GUIDANCE_CIQ" hidden="1">"c4648"</definedName>
    <definedName name="IQ_TOTAL_DEBT_LOW_GUIDANCE_CIQ_COL" hidden="1">"c11297"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POSITS" hidden="1">"c1265"</definedName>
    <definedName name="IQ_TOTAL_DEPOSITS_DOM_FFIEC" hidden="1">"c15313"</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FIEC" hidden="1">"c13162"</definedName>
    <definedName name="IQ_TOTAL_RISK_WEIGHTED_ASSETS_FFIEC" hidden="1">"c13858"</definedName>
    <definedName name="IQ_TOTAL_ROOMS" hidden="1">"c8789"</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"c16168"</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PIRED_DATE" hidden="1">"c2412"</definedName>
    <definedName name="IQ_TR_GROSS_OFFERING_AMT" hidden="1">"c2262"</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ASSETS_FAIR_VALUE_TOT_FFIEC" hidden="1">"c13210"</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tri" hidden="1">{"2000OIDL",#N/A,FALSE,"OIDL"}</definedName>
    <definedName name="iu" hidden="1">{"MARCH",#N/A,FALSE,"CONSO OPEX 5899";"FullOpex",#N/A,FALSE,"CONSO OPEX 5899"}</definedName>
    <definedName name="iyo" hidden="1">{"assumption 50 50",#N/A,TRUE,"Merger";"has gets cash",#N/A,TRUE,"Merger";"accretion dilution",#N/A,TRUE,"Merger";"comparison credit stats",#N/A,TRUE,"Merger";"pf credit stats",#N/A,TRUE,"Merger";"pf sheets",#N/A,TRUE,"Merger"}</definedName>
    <definedName name="j"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jas" hidden="1">{"All",#N/A,FALSE,"Admin";"G only",#N/A,FALSE,"Admin";"No G",#N/A,FALSE,"Admin"}</definedName>
    <definedName name="jfjfj" hidden="1">{#N/A,#N/A,TRUE,"Cover sheet";#N/A,#N/A,TRUE,"DCF analysis";#N/A,#N/A,TRUE,"WACC calculation"}</definedName>
    <definedName name="jhk" hidden="1">{"print 1",#N/A,FALSE,"PrimeCo PCS";"print 2",#N/A,FALSE,"PrimeCo PCS";"valuation",#N/A,FALSE,"PrimeCo PCS"}</definedName>
    <definedName name="jj"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jjj" hidden="1">{#N/A,#N/A,FALSE,"Synth";#N/A,#N/A,FALSE,"concu";"parc_global",#N/A,FALSE,"parc";#N/A,#N/A,FALSE,"CA prest";#N/A,#N/A,FALSE,"Ratio CA";#N/A,#N/A,FALSE,"Trafic";#N/A,#N/A,FALSE,"CR GSM_acté";#N/A,#N/A,FALSE,"Réseaux";#N/A,#N/A,FALSE,"Abonnés";#N/A,#N/A,FALSE,"Créances";#N/A,#N/A,FALSE,"Effectifs";#N/A,#N/A,FALSE,"SI";#N/A,#N/A,FALSE,"R2000";#N/A,#N/A,FALSE,"BIBOP"}</definedName>
    <definedName name="JJJJJJJ"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JJJJJJJJJ"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jkl" hidden="1">{#N/A,#N/A,FALSE,"EL-M-01";#N/A,#N/A,FALSE,"EL-M-02";#N/A,#N/A,FALSE,"EL-M-03";#N/A,#N/A,FALSE,"EL-S-01";#N/A,#N/A,FALSE,"EL-S-02";#N/A,#N/A,FALSE,"EL-A-01";#N/A,#N/A,FALSE,"EL-A-02"}</definedName>
    <definedName name="jkm" hidden="1">{#N/A,#N/A,FALSE,"EL-M-01";#N/A,#N/A,FALSE,"EL-M-02";#N/A,#N/A,FALSE,"EL-M-03";#N/A,#N/A,FALSE,"EL-S-01";#N/A,#N/A,FALSE,"EL-S-02";#N/A,#N/A,FALSE,"EL-A-01";#N/A,#N/A,FALSE,"EL-A-02"}</definedName>
    <definedName name="JMLSDGMLSQ"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joe" hidden="1">{"consolidated",#N/A,FALSE,"Sheet1";"cms",#N/A,FALSE,"Sheet1";"fse",#N/A,FALSE,"Sheet1"}</definedName>
    <definedName name="ju" hidden="1">{#N/A,#N/A,FALSE,"Calc";#N/A,#N/A,FALSE,"Sensitivity";#N/A,#N/A,FALSE,"LT Earn.Dil.";#N/A,#N/A,FALSE,"Dil. AVP"}</definedName>
    <definedName name="junk" hidden="1">{#N/A,#N/A,FALSE,"CHANGES";#N/A,#N/A,FALSE,"PROD SUMMARY";#N/A,#N/A,FALSE,"1995 PO SUM";#N/A,#N/A,FALSE,"1995 GEOG SUM";#N/A,#N/A,FALSE,"1996 PO SUM";#N/A,#N/A,FALSE,"1996 GEOG SUM"}</definedName>
    <definedName name="k" hidden="1">{#N/A,#N/A,FALSE,"Synth";#N/A,#N/A,FALSE,"concu";"parc_global",#N/A,FALSE,"parc";#N/A,#N/A,FALSE,"CA prest";#N/A,#N/A,FALSE,"Ratio CA";#N/A,#N/A,FALSE,"Trafic";#N/A,#N/A,FALSE,"CR GSM_acté";#N/A,#N/A,FALSE,"Réseaux";#N/A,#N/A,FALSE,"Abonnés";#N/A,#N/A,FALSE,"Créances";#N/A,#N/A,FALSE,"Effectifs";#N/A,#N/A,FALSE,"SI";#N/A,#N/A,FALSE,"R2000";#N/A,#N/A,FALSE,"BIBOP"}</definedName>
    <definedName name="kgkgk" hidden="1">{#N/A,#N/A,TRUE,"Cover sheet";#N/A,#N/A,TRUE,"DCF analysis";#N/A,#N/A,TRUE,"WACC calculation"}</definedName>
    <definedName name="KIT" hidden="1">{"equity comps",#N/A,FALSE,"CS Comps";"equity comps",#N/A,FALSE,"PS Comps";"equity comps",#N/A,FALSE,"GIC_Comps";"equity comps",#N/A,FALSE,"GIC2_Comps"}</definedName>
    <definedName name="kk" hidden="1">{"Tarifica91",#N/A,FALSE,"Tariffs";"Tarifica92",#N/A,FALSE,"Tariffs";"Tarifica93",#N/A,FALSE,"Tariffs";"Tarifica94",#N/A,FALSE,"Tariffs";"Tarifica95",#N/A,FALSE,"Tariffs";"Tarifica96",#N/A,FALSE,"Tariffs"}</definedName>
    <definedName name="kmh" hidden="1">{#N/A,#N/A,TRUE,"Cover sheet";#N/A,#N/A,TRUE,"DCF analysis";#N/A,#N/A,TRUE,"WACC calculation"}</definedName>
    <definedName name="kol" hidden="1">{"away stand alones",#N/A,FALSE,"Target"}</definedName>
    <definedName name="lbo" hidden="1">{"a",#N/A,FALSE,"LBO - 100%, Sell C,CT 98......";"aa",#N/A,FALSE,"LBO - 100%, Sell C,CT 98......";"aaa",#N/A,FALSE,"LBO - 100%, Sell C,CT 98......";"aaaa",#N/A,FALSE,"LBO - 100%, Sell C,CT 98......";"aaaaa",#N/A,FALSE,"LBO - 100%, Sell C,CT 98......";"aaaaaa",#N/A,FALSE,"LBO - 100%, Sell C,CT 98......"}</definedName>
    <definedName name="lds" hidden="1">{#N/A,#N/A,FALSE,"CHANGES";#N/A,#N/A,FALSE,"PROD SUMMARY";#N/A,#N/A,FALSE,"1995 PO SUM";#N/A,#N/A,FALSE,"1995 GEOG SUM";#N/A,#N/A,FALSE,"1996 PO SUM";#N/A,#N/A,FALSE,"1996 GEOG SUM"}</definedName>
    <definedName name="limcount" hidden="1">1</definedName>
    <definedName name="lkjh" hidden="1">{#N/A,#N/A,FALSE,"Calc";#N/A,#N/A,FALSE,"Sensitivity";#N/A,#N/A,FALSE,"LT Earn.Dil.";#N/A,#N/A,FALSE,"Dil. AVP"}</definedName>
    <definedName name="lkjlklkjlkjlkj" hidden="1">{"page1",#N/A,TRUE,"CSC";"page2",#N/A,TRUE,"CSC"}</definedName>
    <definedName name="lklkl" hidden="1">{"consolidated",#N/A,FALSE,"Sheet1";"cms",#N/A,FALSE,"Sheet1";"fse",#N/A,FALSE,"Sheet1"}</definedName>
    <definedName name="l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l" hidden="1">{#N/A,#N/A,FALSE,"Synth";"parc_DC",#N/A,FALSE,"parc";#N/A,#N/A,FALSE,"CA prest";#N/A,#N/A,FALSE,"Ratio CA";#N/A,#N/A,FALSE,"Trafic";"CR_GSM_acté_DC",#N/A,FALSE,"CR GSM_acté";#N/A,#N/A,FALSE,"Abonnés";#N/A,#N/A,FALSE,"Créances";#N/A,#N/A,FALSE,"Effectifs"}</definedName>
    <definedName name="m" hidden="1">#N/A</definedName>
    <definedName name="mb" hidden="1">{#N/A,#N/A,FALSE,"CHANGES";#N/A,#N/A,FALSE,"PROD SUMMARY";#N/A,#N/A,FALSE,"1995 PO SUM";#N/A,#N/A,FALSE,"1995 GEOG SUM";#N/A,#N/A,FALSE,"1996 PO SUM";#N/A,#N/A,FALSE,"1996 GEOG SUM"}</definedName>
    <definedName name="mdlm" hidden="1">{#N/A,#N/A,TRUE,"financial";#N/A,#N/A,TRUE,"plants"}</definedName>
    <definedName name="MI" localSheetId="0">#REF!</definedName>
    <definedName name="MI">#REF!</definedName>
    <definedName name="MLBFFDMLGM"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mmmm" hidden="1">{#N/A,#N/A,FALSE,"Calc";#N/A,#N/A,FALSE,"Sensitivity";#N/A,#N/A,FALSE,"LT Earn.Dil.";#N/A,#N/A,FALSE,"Dil. AVP"}</definedName>
    <definedName name="MMMMMMMMM"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on" hidden="1">{"page 1",#N/A,FALSE,"A";"page 2",#N/A,FALSE,"A";"page 3",#N/A,FALSE,"A";"page 4",#N/A,FALSE,"A";"page 5",#N/A,FALSE,"A";"page 6",#N/A,FALSE,"A";"page 7",#N/A,FALSE,"A";"page 8",#N/A,FALSE,"A";"page 9",#N/A,FALSE,"A";"page 10",#N/A,FALSE,"A";"page 11",#N/A,FALSE,"A";"page 12",#N/A,FALSE,"A";"page 13",#N/A,FALSE,"A";"page 14",#N/A,FALSE,"A"}</definedName>
    <definedName name="mu" hidden="1">{#N/A,#N/A,FALSE,"Synth";"parc_DC",#N/A,FALSE,"parc";#N/A,#N/A,FALSE,"CA prest";#N/A,#N/A,FALSE,"Ratio CA";#N/A,#N/A,FALSE,"Trafic";"CR_GSM_acté_DC",#N/A,FALSE,"CR GSM_acté";#N/A,#N/A,FALSE,"Abonnés";#N/A,#N/A,FALSE,"Créances";#N/A,#N/A,FALSE,"Effectifs"}</definedName>
    <definedName name="New" hidden="1">{"CSC_1",#N/A,FALSE,"CSC Outputs";"CSC_2",#N/A,FALSE,"CSC Outputs"}</definedName>
    <definedName name="new_w" hidden="1">{"comps1_1",#N/A,FALSE,"Comps1";"comps1_2",#N/A,FALSE,"Comps1";"comps1_3",#N/A,FALSE,"Comps1";"comps1_4",#N/A,FALSE,"Comps1";"comps1_5",#N/A,FALSE,"Comps1"}</definedName>
    <definedName name="newDC" hidden="1">{#N/A,#N/A,TRUE,"Cover sheet";#N/A,#N/A,TRUE,"DCF analysis";#N/A,#N/A,TRUE,"WACC calculation"}</definedName>
    <definedName name="no" hidden="1">{#N/A,#N/A,FALSE,"Calc";#N/A,#N/A,FALSE,"Sensitivity";#N/A,#N/A,FALSE,"LT Earn.Dil.";#N/A,#N/A,FALSE,"Dil. AVP"}</definedName>
    <definedName name="noidea" hidden="1">{#N/A,#N/A,FALSE,"Calc";#N/A,#N/A,FALSE,"Sensitivity";#N/A,#N/A,FALSE,"LT Earn.Dil.";#N/A,#N/A,FALSE,"Dil. AVP"}</definedName>
    <definedName name="noidea1" hidden="1">{#N/A,#N/A,FALSE,"Calc";#N/A,#N/A,FALSE,"Sensitivity";#N/A,#N/A,FALSE,"LT Earn.Dil.";#N/A,#N/A,FALSE,"Dil. AVP"}</definedName>
    <definedName name="noidea10" hidden="1">{#N/A,#N/A,FALSE,"Calc";#N/A,#N/A,FALSE,"Sensitivity";#N/A,#N/A,FALSE,"LT Earn.Dil.";#N/A,#N/A,FALSE,"Dil. AVP"}</definedName>
    <definedName name="NOIDEA2" hidden="1">{#N/A,#N/A,FALSE,"Calc";#N/A,#N/A,FALSE,"Sensitivity";#N/A,#N/A,FALSE,"LT Earn.Dil.";#N/A,#N/A,FALSE,"Dil. AVP"}</definedName>
    <definedName name="noidea20" hidden="1">{#N/A,#N/A,FALSE,"Calc";#N/A,#N/A,FALSE,"Sensitivity";#N/A,#N/A,FALSE,"LT Earn.Dil.";#N/A,#N/A,FALSE,"Dil. AVP"}</definedName>
    <definedName name="noidea3" hidden="1">{#N/A,#N/A,FALSE,"Calc";#N/A,#N/A,FALSE,"Sensitivity";#N/A,#N/A,FALSE,"LT Earn.Dil.";#N/A,#N/A,FALSE,"Dil. AVP"}</definedName>
    <definedName name="noidea4" hidden="1">{#N/A,#N/A,FALSE,"Calc";#N/A,#N/A,FALSE,"Sensitivity";#N/A,#N/A,FALSE,"LT Earn.Dil.";#N/A,#N/A,FALSE,"Dil. AVP"}</definedName>
    <definedName name="noidea5" hidden="1">{#N/A,#N/A,FALSE,"Calc";#N/A,#N/A,FALSE,"Sensitivity";#N/A,#N/A,FALSE,"LT Earn.Dil.";#N/A,#N/A,FALSE,"Dil. AVP"}</definedName>
    <definedName name="noidea6" hidden="1">{#N/A,#N/A,FALSE,"Calc";#N/A,#N/A,FALSE,"Sensitivity";#N/A,#N/A,FALSE,"LT Earn.Dil.";#N/A,#N/A,FALSE,"Dil. AVP"}</definedName>
    <definedName name="noidea7" hidden="1">{#N/A,#N/A,FALSE,"Calc";#N/A,#N/A,FALSE,"Sensitivity";#N/A,#N/A,FALSE,"LT Earn.Dil.";#N/A,#N/A,FALSE,"Dil. AVP"}</definedName>
    <definedName name="non" hidden="1">{#N/A,#N/A,FALSE,"Objectives"}</definedName>
    <definedName name="nono" hidden="1">{#N/A,#N/A,FALSE,"Objectives"}</definedName>
    <definedName name="nono2" hidden="1">{#N/A,#N/A,FALSE,"Objectives"}</definedName>
    <definedName name="nouv"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mberFormat" hidden="1">"NumberNoDecimal"</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CFchart" hidden="1">{#N/A,#N/A,FALSE,"Synth";"parc_DC",#N/A,FALSE,"parc";#N/A,#N/A,FALSE,"CA prest";#N/A,#N/A,FALSE,"Ratio CA";#N/A,#N/A,FALSE,"Trafic";"CR_GSM_acté_DC",#N/A,FALSE,"CR GSM_acté";#N/A,#N/A,FALSE,"Abonnés";#N/A,#N/A,FALSE,"Créances";#N/A,#N/A,FALSE,"Effectifs"}</definedName>
    <definedName name="OFJGIQJ"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OJJSML"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ok" hidden="1">{#N/A,#N/A,FALSE,"Calc";#N/A,#N/A,FALSE,"Sensitivity";#N/A,#N/A,FALSE,"LT Earn.Dil.";#N/A,#N/A,FALSE,"Dil. AVP"}</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ApplicationName" hidden="1">"ORO_FIN"</definedName>
    <definedName name="ol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atabaseName" hidden="1">"ORO_FIN"</definedName>
    <definedName name="olServerName" hidden="1">"essbase.app.orange.intra"</definedName>
    <definedName name="olSheetProtection" hidden="1">"NQOtghesnxa"</definedName>
    <definedName name="olUseAlias" hidden="1">"default"</definedName>
    <definedName name="olUserLogin" hidden="1">"ezpftr"</definedName>
    <definedName name="olUserPwd" hidden="1">"dac212"</definedName>
    <definedName name="olWBSettingsVer" hidden="1">"1.69f6"</definedName>
    <definedName name="omega" hidden="1">{#N/A,#N/A,FALSE,"CHANGES";#N/A,#N/A,FALSE,"PROD SUMMARY";#N/A,#N/A,FALSE,"1995 PO SUM";#N/A,#N/A,FALSE,"1995 GEOG SUM";#N/A,#N/A,FALSE,"1996 PO SUM";#N/A,#N/A,FALSE,"1996 GEOG SUM"}</definedName>
    <definedName name="ooooo" hidden="1">{#N/A,#N/A,FALSE,"Calc";#N/A,#N/A,FALSE,"Sensitivity";#N/A,#N/A,FALSE,"LT Earn.Dil.";#N/A,#N/A,FALSE,"Dil. AVP"}</definedName>
    <definedName name="OP" hidden="1">{#N/A,#N/A,FALSE,"Operations";#N/A,#N/A,FALSE,"Financials"}</definedName>
    <definedName name="PAEGJMLFKG"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AOKGFKBGK"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AOKRGMG"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arcel2" hidden="1">{"First Page",#N/A,FALSE,"Surfactants LBO";"Second Page",#N/A,FALSE,"Surfactants LBO"}</definedName>
    <definedName name="PEOGKJMKAG"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ercentFormat" hidden="1">"PercentOneDecimal"</definedName>
    <definedName name="pipo" hidden="1">{#N/A,#N/A,TRUE,"financial";#N/A,#N/A,TRUE,"plants"}</definedName>
    <definedName name="p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OFGKMKG"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oi" hidden="1">{"assumption 50 50",#N/A,TRUE,"Merger";"has gets cash",#N/A,TRUE,"Merger";"accretion dilution",#N/A,TRUE,"Merger";"comparison credit stats",#N/A,TRUE,"Merger";"pf credit stats",#N/A,TRUE,"Merger";"pf sheets",#N/A,TRUE,"Merger"}</definedName>
    <definedName name="POJFGOJ"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OJGPOE"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ortails" hidden="1">{"' calendrier 2000'!$A$1:$Q$38"}</definedName>
    <definedName name="pp" hidden="1">{#N/A,#N/A,FALSE,"Calc";#N/A,#N/A,FALSE,"Sensitivity";#N/A,#N/A,FALSE,"LT Earn.Dil.";#N/A,#N/A,FALSE,"Dil. AVP"}</definedName>
    <definedName name="Pres" hidden="1">{#N/A,#N/A,TRUE,"Cover sheet";#N/A,#N/A,TRUE,"Summary";#N/A,#N/A,TRUE,"Key Assumptions";#N/A,#N/A,TRUE,"Profit &amp; Loss";#N/A,#N/A,TRUE,"Balance Sheet";#N/A,#N/A,TRUE,"Cashflow";#N/A,#N/A,TRUE,"IRR";#N/A,#N/A,TRUE,"Ratios";#N/A,#N/A,TRUE,"Debt analysis"}</definedName>
    <definedName name="_xlnm.Print_Area" localSheetId="0">quote!$A$1:$J$81</definedName>
    <definedName name="Print_CSC_Report_2" hidden="1">{"CSC_1",#N/A,FALSE,"CSC Outputs";"CSC_2",#N/A,FALSE,"CSC Outputs"}</definedName>
    <definedName name="Print_CSC_Report_3" hidden="1">{"CSC_1",#N/A,FALSE,"CSC Outputs";"CSC_2",#N/A,FALSE,"CSC Outputs"}</definedName>
    <definedName name="print4" hidden="1">{#N/A,#N/A,FALSE,"Operations";#N/A,#N/A,FALSE,"Financials"}</definedName>
    <definedName name="prout" hidden="1">{"comp1",#N/A,FALSE,"COMPS";"footnotes",#N/A,FALSE,"COMPS"}</definedName>
    <definedName name="prout1" hidden="1">{"comp1",#N/A,FALSE,"COMPS";"footnotes",#N/A,FALSE,"COMPS"}</definedName>
    <definedName name="q" hidden="1">{#N/A,#N/A,FALSE,"Synth";"parc_DC",#N/A,FALSE,"parc";#N/A,#N/A,FALSE,"CA prest";#N/A,#N/A,FALSE,"Ratio CA";#N/A,#N/A,FALSE,"Trafic";"CR_GSM_acté_DC",#N/A,FALSE,"CR GSM_acté";#N/A,#N/A,FALSE,"Abonnés";#N/A,#N/A,FALSE,"Créances";#N/A,#N/A,FALSE,"Effectifs"}</definedName>
    <definedName name="qaecdaze" hidden="1">{"First Page",#N/A,FALSE,"Surfactants LBO";"Second Page",#N/A,FALSE,"Surfactants LBO"}</definedName>
    <definedName name="qf" hidden="1">{#N/A,#N/A,TRUE,"Cover sheet";#N/A,#N/A,TRUE,"INPUTS";#N/A,#N/A,TRUE,"OUTPUTS";#N/A,#N/A,TRUE,"VALUATION"}</definedName>
    <definedName name="qgg" hidden="1">{#N/A,#N/A,FALSE,"Cover";"outputs total",#N/A,FALSE,"Outputs"}</definedName>
    <definedName name="qq" hidden="1">{#N/A,#N/A,FALSE,"CBE";#N/A,#N/A,FALSE,"SWK"}</definedName>
    <definedName name="qscfaq" hidden="1">{"First Page",#N/A,FALSE,"Surfactants LBO";"Second Page",#N/A,FALSE,"Surfactants LBO"}</definedName>
    <definedName name="qsd" hidden="1">{#N/A,#N/A,TRUE,"Cover sheet";#N/A,#N/A,TRUE,"DCF analysis";#N/A,#N/A,TRUE,"WACC calculation"}</definedName>
    <definedName name="qsdf" hidden="1">#REF!</definedName>
    <definedName name="QSDQS" hidden="1">#REF!</definedName>
    <definedName name="QSDSQD"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qsfd" hidden="1">{#N/A,#N/A,TRUE,"Cover sheet";#N/A,#N/A,TRUE,"INPUTS";#N/A,#N/A,TRUE,"OUTPUTS";#N/A,#N/A,TRUE,"VALUATION"}</definedName>
    <definedName name="qwer" hidden="1">{#N/A,#N/A,FALSE,"CHANGES";#N/A,#N/A,FALSE,"PROD SUMMARY";#N/A,#N/A,FALSE,"1995 PO SUM";#N/A,#N/A,FALSE,"1995 GEOG SUM";#N/A,#N/A,FALSE,"1996 PO SUM";#N/A,#N/A,FALSE,"1996 GEOG SUM"}</definedName>
    <definedName name="qwqw" hidden="1">{#N/A,#N/A,FALSE,"Créances";#N/A,#N/A,FALSE,"Effectifs";#N/A,#N/A,FALSE,"SI"}</definedName>
    <definedName name="r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EBEL" hidden="1">{#N/A,#N/A,FALSE,"Synth";"parc_DC",#N/A,FALSE,"parc";#N/A,#N/A,FALSE,"CA prest";#N/A,#N/A,FALSE,"Ratio CA";#N/A,#N/A,FALSE,"Trafic";"CR_GSM_acté_DC",#N/A,FALSE,"CR GSM_acté";#N/A,#N/A,FALSE,"Abonnés";#N/A,#N/A,FALSE,"Créances";#N/A,#N/A,FALSE,"Effectifs"}</definedName>
    <definedName name="rename_of_wrn.CSC" hidden="1">{"page1",#N/A,TRUE,"CSC";"page2",#N/A,TRUE,"CSC"}</definedName>
    <definedName name="Revenues" hidden="1">{#N/A,#N/A,FALSE,"Synth";"parc_DC",#N/A,FALSE,"parc";#N/A,#N/A,FALSE,"CA prest";#N/A,#N/A,FALSE,"Ratio CA";#N/A,#N/A,FALSE,"Trafic";"CR_GSM_acté_DC",#N/A,FALSE,"CR GSM_acté";#N/A,#N/A,FALSE,"Abonnés";#N/A,#N/A,FALSE,"Créances";#N/A,#N/A,FALSE,"Effectifs"}</definedName>
    <definedName name="reztetrert" hidden="1">{"comps",#N/A,FALSE,"HANDPACK";"footnotes",#N/A,FALSE,"HANDPACK"}</definedName>
    <definedName name="REZTEZRT" hidden="1">#REF!</definedName>
    <definedName name="RFDC" hidden="1">{"comp1",#N/A,FALSE,"COMPS";"footnotes",#N/A,FALSE,"COMPS"}</definedName>
    <definedName name="rftrr" hidden="1">{#N/A,#N/A,TRUE,"comp";#N/A,#N/A,TRUE,"notes"}</definedName>
    <definedName name="RHKPRTH"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RR" hidden="1">{"casespecific",#N/A,FALSE,"Assumptions"}</definedName>
    <definedName name="rrrrrr" hidden="1">{"cash plan",#N/A,FALSE,"fccashflow"}</definedName>
    <definedName name="rt" hidden="1">{"casespecific",#N/A,FALSE,"Assumptions"}</definedName>
    <definedName name="RTG" hidden="1">{#N/A,#N/A,FALSE,"Operations";#N/A,#N/A,FALSE,"Financials"}</definedName>
    <definedName name="rty" hidden="1">{#N/A,#N/A,TRUE,"Pro Forma";#N/A,#N/A,TRUE,"PF_Bal";#N/A,#N/A,TRUE,"PF_INC";#N/A,#N/A,TRUE,"CBE";#N/A,#N/A,TRUE,"SWK"}</definedName>
    <definedName name="rtyrty" hidden="1">{"general",#N/A,FALSE,"Assumptions"}</definedName>
    <definedName name="s" hidden="1">{#N/A,#N/A,FALSE,"Créances";#N/A,#N/A,FALSE,"Effectifs";#N/A,#N/A,FALSE,"SI"}</definedName>
    <definedName name="sad" hidden="1">{"QTRLYCorporate",#N/A,FALSE,"Corporate"}</definedName>
    <definedName name="SAPBEXrevision" hidden="1">1</definedName>
    <definedName name="SAPBEXsysID" hidden="1">"PR2"</definedName>
    <definedName name="SAPBEXwbID" hidden="1">"0MB5TOIC7ZU0LX8WJX6QNRCYX"</definedName>
    <definedName name="sbgsdgfgbb" hidden="1">#REF!</definedName>
    <definedName name="sd" hidden="1">{#N/A,#N/A,FALSE,"Synth";"parc_DC",#N/A,FALSE,"parc";#N/A,#N/A,FALSE,"CA prest";#N/A,#N/A,FALSE,"Ratio CA";#N/A,#N/A,FALSE,"Trafic";"CR_GSM_acté_DC",#N/A,FALSE,"CR GSM_acté";#N/A,#N/A,FALSE,"Abonnés";#N/A,#N/A,FALSE,"Créances";#N/A,#N/A,FALSE,"Effectifs"}</definedName>
    <definedName name="sdddd" hidden="1">{#N/A,#N/A,FALSE,"Créances";#N/A,#N/A,FALSE,"Effectifs";#N/A,#N/A,FALSE,"SI"}</definedName>
    <definedName name="SDER" hidden="1">{#N/A,#N/A,FALSE,"Calc";#N/A,#N/A,FALSE,"Sensitivity";#N/A,#N/A,FALSE,"LT Earn.Dil.";#N/A,#N/A,FALSE,"Dil. AVP"}</definedName>
    <definedName name="sdf" hidden="1">{#N/A,#N/A,FALSE,"Synth";"parc_DC",#N/A,FALSE,"parc";#N/A,#N/A,FALSE,"CA prest";#N/A,#N/A,FALSE,"Ratio CA";#N/A,#N/A,FALSE,"Trafic";"CR_GSM_acté_DC",#N/A,FALSE,"CR GSM_acté";#N/A,#N/A,FALSE,"Abonnés";#N/A,#N/A,FALSE,"Créances";#N/A,#N/A,FALSE,"Effectifs"}</definedName>
    <definedName name="sdfdsfsdfsdfsdfsdf" hidden="1">{"' calendrier 2000'!$A$1:$Q$38"}</definedName>
    <definedName name="sdfgdsf" hidden="1">#REF!</definedName>
    <definedName name="SDFGFG" hidden="1">#REF!</definedName>
    <definedName name="sdfsddsf" hidden="1">{#N/A,#N/A,FALSE,"Créances";#N/A,#N/A,FALSE,"Effectifs";#N/A,#N/A,FALSE,"SI"}</definedName>
    <definedName name="sdfsdf" hidden="1">{#N/A,#N/A,FALSE,"Créances";#N/A,#N/A,FALSE,"Effectifs";#N/A,#N/A,FALSE,"SI"}</definedName>
    <definedName name="sdfsdfdsf" hidden="1">{#N/A,#N/A,FALSE,"Synth";"parc_DC",#N/A,FALSE,"parc";#N/A,#N/A,FALSE,"CA prest";#N/A,#N/A,FALSE,"Ratio CA";#N/A,#N/A,FALSE,"Trafic";"CR_GSM_acté_DC",#N/A,FALSE,"CR GSM_acté";#N/A,#N/A,FALSE,"Abonnés";#N/A,#N/A,FALSE,"Créances";#N/A,#N/A,FALSE,"Effectifs"}</definedName>
    <definedName name="sdfsdfsdf" hidden="1">{#N/A,#N/A,FALSE,"Synth";"parc_DC",#N/A,FALSE,"parc";#N/A,#N/A,FALSE,"CA prest";#N/A,#N/A,FALSE,"Ratio CA";#N/A,#N/A,FALSE,"Trafic";"CR_GSM_acté_DC",#N/A,FALSE,"CR GSM_acté";#N/A,#N/A,FALSE,"Abonnés";#N/A,#N/A,FALSE,"Créances";#N/A,#N/A,FALSE,"Effectifs"}</definedName>
    <definedName name="sdfsdfsdfdsf" hidden="1">{#N/A,#N/A,FALSE,"Synth";"parc_DC",#N/A,FALSE,"parc";#N/A,#N/A,FALSE,"CA prest";#N/A,#N/A,FALSE,"Ratio CA";#N/A,#N/A,FALSE,"Trafic";"CR_GSM_acté_DC",#N/A,FALSE,"CR GSM_acté";#N/A,#N/A,FALSE,"Abonnés";#N/A,#N/A,FALSE,"Créances";#N/A,#N/A,FALSE,"Effectifs"}</definedName>
    <definedName name="sdfsfsfd" hidden="1">{#N/A,#N/A,FALSE,"Operations";#N/A,#N/A,FALSE,"Financials"}</definedName>
    <definedName name="sdfsfsfsdf" hidden="1">{#N/A,#N/A,FALSE,"Calc";#N/A,#N/A,FALSE,"Sensitivity";#N/A,#N/A,FALSE,"LT Earn.Dil.";#N/A,#N/A,FALSE,"Dil. AVP"}</definedName>
    <definedName name="sdgdfghfhgfjhgfjhjjjg" hidden="1">{"general",#N/A,FALSE,"Assumptions"}</definedName>
    <definedName name="sdgdgdf" hidden="1">{"comp",#N/A,FALSE,"SPEC";"footnotes",#N/A,FALSE,"SPEC"}</definedName>
    <definedName name="sdqfqfdfq" hidden="1">{#N/A,#N/A,FALSE,"Synth";"parc_DC",#N/A,FALSE,"parc";#N/A,#N/A,FALSE,"CA prest";#N/A,#N/A,FALSE,"Ratio CA";#N/A,#N/A,FALSE,"Trafic";"CR_GSM_acté_DC",#N/A,FALSE,"CR GSM_acté";#N/A,#N/A,FALSE,"Abonnés";#N/A,#N/A,FALSE,"Créances";#N/A,#N/A,FALSE,"Effectifs"}</definedName>
    <definedName name="sdsdfsdfsdf" hidden="1">{#N/A,#N/A,FALSE,"Créances";#N/A,#N/A,FALSE,"Effectifs";#N/A,#N/A,FALSE,"SI"}</definedName>
    <definedName name="sdvsfdvfdsb" hidden="1">#REF!</definedName>
    <definedName name="se" hidden="1">{"consolidated",#N/A,FALSE,"Sheet1";"cms",#N/A,FALSE,"Sheet1";"fse",#N/A,FALSE,"Sheet1"}</definedName>
    <definedName name="sencount" hidden="1">1</definedName>
    <definedName name="sf" hidden="1">{#N/A,#N/A,FALSE,"Synth";"parc_DC",#N/A,FALSE,"parc";#N/A,#N/A,FALSE,"CA prest";#N/A,#N/A,FALSE,"Ratio CA";#N/A,#N/A,FALSE,"Trafic";"CR_GSM_acté_DC",#N/A,FALSE,"CR GSM_acté";#N/A,#N/A,FALSE,"Abonnés";#N/A,#N/A,FALSE,"Créances";#N/A,#N/A,FALSE,"Effectifs"}</definedName>
    <definedName name="sfbgsfbgsfbg" hidden="1">#REF!</definedName>
    <definedName name="SFDGDSG" hidden="1">#REF!</definedName>
    <definedName name="sfdsdfdf" hidden="1">{#N/A,#N/A,FALSE,"Créances";#N/A,#N/A,FALSE,"Effectifs";#N/A,#N/A,FALSE,"SI"}</definedName>
    <definedName name="sfgv" hidden="1">{"consolidated",#N/A,FALSE,"Sheet1";"cms",#N/A,FALSE,"Sheet1";"fse",#N/A,FALSE,"Sheet1"}</definedName>
    <definedName name="sfq" hidden="1">{#N/A,#N/A,FALSE,"Calc";#N/A,#N/A,FALSE,"Sensitivity";#N/A,#N/A,FALSE,"LT Earn.Dil.";#N/A,#N/A,FALSE,"Dil. AVP"}</definedName>
    <definedName name="sfsdfsdf" hidden="1">{#N/A,#N/A,FALSE,"Synth";"parc_DC",#N/A,FALSE,"parc";#N/A,#N/A,FALSE,"CA prest";#N/A,#N/A,FALSE,"Ratio CA";#N/A,#N/A,FALSE,"Trafic";"CR_GSM_acté_DC",#N/A,FALSE,"CR GSM_acté";#N/A,#N/A,FALSE,"Abonnés";#N/A,#N/A,FALSE,"Créances";#N/A,#N/A,FALSE,"Effectifs"}</definedName>
    <definedName name="sfsdfsf" hidden="1">{"First Page",#N/A,FALSE,"Surfactants LBO";"Second Page",#N/A,FALSE,"Surfactants LBO"}</definedName>
    <definedName name="sfsfsdf" hidden="1">{#N/A,#N/A,FALSE,"Calc";#N/A,#N/A,FALSE,"Sensitivity";#N/A,#N/A,FALSE,"LT Earn.Dil.";#N/A,#N/A,FALSE,"Dil. AVP"}</definedName>
    <definedName name="sfsfsfsfsfd" hidden="1">{"away stand alones",#N/A,FALSE,"Target"}</definedName>
    <definedName name="sgdg" hidden="1">{#N/A,#N/A,FALSE,"Calc";#N/A,#N/A,FALSE,"Sensitivity";#N/A,#N/A,FALSE,"LT Earn.Dil.";#N/A,#N/A,FALSE,"Dil. AVP"}</definedName>
    <definedName name="sgdzhet" hidden="1">{"subs",#N/A,FALSE,"database ";"proportional",#N/A,FALSE,"database "}</definedName>
    <definedName name="sgsx" hidden="1">{"consolidated",#N/A,FALSE,"Sheet1";"cms",#N/A,FALSE,"Sheet1";"fse",#N/A,FALSE,"Sheet1"}</definedName>
    <definedName name="sheet" hidden="1">{"Assumptions1",#N/A,FALSE,"Assumptions";"MergerPlans1","20yearamort",FALSE,"MergerPlans";"MergerPlans1","40yearamort",FALSE,"MergerPlans";"MergerPlans2",#N/A,FALSE,"MergerPlans";"inputs",#N/A,FALSE,"MergerPlans"}</definedName>
    <definedName name="shelf" hidden="1">{#N/A,#N/A,FALSE,"CHANGES";#N/A,#N/A,FALSE,"PROD SUMMARY";#N/A,#N/A,FALSE,"1995 PO SUM";#N/A,#N/A,FALSE,"1995 GEOG SUM";#N/A,#N/A,FALSE,"1996 PO SUM";#N/A,#N/A,FALSE,"1996 GEOG SUM"}</definedName>
    <definedName name="sjj" hidden="1">{"1999OIDL",#N/A,FALSE,"OIDL"}</definedName>
    <definedName name="SnecmaFAT" hidden="1">{#N/A,#N/A,TRUE,"Pro Forma";#N/A,#N/A,TRUE,"PF_Bal";#N/A,#N/A,TRUE,"PF_INC";#N/A,#N/A,TRUE,"CBE";#N/A,#N/A,TRUE,"SWK"}</definedName>
    <definedName name="sqfs"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sss" hidden="1">{#N/A,#N/A,FALSE,"Synth";"parc_DC",#N/A,FALSE,"parc";#N/A,#N/A,FALSE,"CA prest";#N/A,#N/A,FALSE,"Ratio CA";#N/A,#N/A,FALSE,"Trafic";"CR_GSM_acté_DC",#N/A,FALSE,"CR GSM_acté";#N/A,#N/A,FALSE,"Abonnés";#N/A,#N/A,FALSE,"Créances";#N/A,#N/A,FALSE,"Effectifs"}</definedName>
    <definedName name="ssss" hidden="1">{#N/A,#N/A,FALSE,"TabA";#N/A,#N/A,FALSE,"UTopxFx98";#N/A,#N/A,FALSE,"TopxFx98";#N/A,#N/A,FALSE,"TopxNom"}</definedName>
    <definedName name="sssss" hidden="1">{#N/A,#N/A,FALSE,"Calc";#N/A,#N/A,FALSE,"Sensitivity";#N/A,#N/A,FALSE,"LT Earn.Dil.";#N/A,#N/A,FALSE,"Dil. AVP"}</definedName>
    <definedName name="Stats" hidden="1">{#N/A,#N/A,TRUE,"Pro Forma";#N/A,#N/A,TRUE,"PF_Bal";#N/A,#N/A,TRUE,"PF_INC";#N/A,#N/A,TRUE,"CBE";#N/A,#N/A,TRUE,"SWK"}</definedName>
    <definedName name="t" hidden="1">{#N/A,#N/A,FALSE,"Synth";#N/A,#N/A,FALSE,"concu";"parc_global",#N/A,FALSE,"parc";#N/A,#N/A,FALSE,"CA prest";#N/A,#N/A,FALSE,"Ratio CA";#N/A,#N/A,FALSE,"Trafic";#N/A,#N/A,FALSE,"CR GSM_acté";#N/A,#N/A,FALSE,"Réseaux";#N/A,#N/A,FALSE,"Abonnés";#N/A,#N/A,FALSE,"Créances";#N/A,#N/A,FALSE,"Effectifs";#N/A,#N/A,FALSE,"SI";#N/A,#N/A,FALSE,"R2000";#N/A,#N/A,FALSE,"BIBOP"}</definedName>
    <definedName name="Tabel" hidden="1">{"Balance sheet",#N/A,TRUE,"DB1_format"}</definedName>
    <definedName name="temp" hidden="1">{#N/A,#N/A,FALSE,"INVOICED P-M";#N/A,#N/A,FALSE,"98 GESPREID"}</definedName>
    <definedName name="test1" hidden="1">{#N/A,#N/A,FALSE,"Umsatz";#N/A,#N/A,FALSE,"Base V.02";#N/A,#N/A,FALSE,"Charts"}</definedName>
    <definedName name="test2" hidden="1">{#N/A,#N/A,FALSE,"F_Plan";#N/A,#N/A,FALSE,"Parameter"}</definedName>
    <definedName name="tests" hidden="1">{#N/A,#N/A,FALSE,"F_Plan";#N/A,#N/A,FALSE,"Parameter"}</definedName>
    <definedName name="TextRefCopyRangeCount" hidden="1">3</definedName>
    <definedName name="thth" hidden="1">{#N/A,#N/A,FALSE,"Calc";#N/A,#N/A,FALSE,"Sensitivity";#N/A,#N/A,FALSE,"LT Earn.Dil.";#N/A,#N/A,FALSE,"Dil. AVP"}</definedName>
    <definedName name="tobias" hidden="1">#N/A</definedName>
    <definedName name="toby" hidden="1">{"comps1_1",#N/A,FALSE,"Comps1";"comps1_2",#N/A,FALSE,"Comps1";"comps1_3",#N/A,FALSE,"Comps1";"comps1_4",#N/A,FALSE,"Comps1";"comps1_5",#N/A,FALSE,"Comps1"}</definedName>
    <definedName name="toto" hidden="1">{#N/A,#N/A,FALSE,"Objectives"}</definedName>
    <definedName name="tr" hidden="1">{"All",#N/A,FALSE,"Admin";"G only",#N/A,FALSE,"Admin";"No G",#N/A,FALSE,"Admin"}</definedName>
    <definedName name="tretrzt" hidden="1">{#N/A,#N/A,FALSE,"Synth";"parc_DC",#N/A,FALSE,"parc";#N/A,#N/A,FALSE,"CA prest";#N/A,#N/A,FALSE,"Ratio CA";#N/A,#N/A,FALSE,"Trafic";"CR_GSM_acté_DC",#N/A,FALSE,"CR GSM_acté";#N/A,#N/A,FALSE,"Abonnés";#N/A,#N/A,FALSE,"Créances";#N/A,#N/A,FALSE,"Effectifs"}</definedName>
    <definedName name="trh" hidden="1">{"1999International",#N/A,FALSE,"International"}</definedName>
    <definedName name="tt" hidden="1">{#N/A,#N/A,FALSE,"Synth";"parc_DC",#N/A,FALSE,"parc";#N/A,#N/A,FALSE,"CA prest";#N/A,#N/A,FALSE,"Ratio CA";#N/A,#N/A,FALSE,"Trafic";"CR_GSM_acté_DC",#N/A,FALSE,"CR GSM_acté";#N/A,#N/A,FALSE,"Abonnés";#N/A,#N/A,FALSE,"Créances";#N/A,#N/A,FALSE,"Effectifs"}</definedName>
    <definedName name="tyi" hidden="1">{"2000HTUK",#N/A,FALSE,"HTUK"}</definedName>
    <definedName name="tyu" hidden="1">{"MARCH",#N/A,FALSE,"CONSO OPEX 5899";"FullOpex",#N/A,FALSE,"CONSO OPEX 5899"}</definedName>
    <definedName name="U"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ugyi" hidden="1">{#N/A,#N/A,FALSE,"output";#N/A,#N/A,FALSE,"contrib";#N/A,#N/A,FALSE,"profile";#N/A,#N/A,FALSE,"comps"}</definedName>
    <definedName name="ui" hidden="1">{"MARCH",#N/A,FALSE,"CONSO OPEX 5899";"FullOpex",#N/A,FALSE,"CONSO OPEX 5899"}</definedName>
    <definedName name="umy" hidden="1">{"comps",#N/A,FALSE,"comps";"notes",#N/A,FALSE,"comps"}</definedName>
    <definedName name="uu" hidden="1">{"Financials",#N/A,FALSE,"Financials";"AVP",#N/A,FALSE,"AVP";"DCF",#N/A,FALSE,"DCF";"CSC",#N/A,FALSE,"CSC";"Deal_Comp",#N/A,FALSE,"DealComp"}</definedName>
    <definedName name="UUUUUU"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vanja" hidden="1">{#N/A,#N/A,TRUE,"Pro Forma";#N/A,#N/A,TRUE,"PF_Bal";#N/A,#N/A,TRUE,"PF_INC";#N/A,#N/A,TRUE,"CBE";#N/A,#N/A,TRUE,"SWK"}</definedName>
    <definedName name="vcncvnc"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vcncvncnb" hidden="1">{"comps",#N/A,FALSE,"HANDPACK";"footnotes",#N/A,FALSE,"HANDPACK"}</definedName>
    <definedName name="vcsds" hidden="1">{#N/A,#N/A,FALSE,"Créances";#N/A,#N/A,FALSE,"Effectifs";#N/A,#N/A,FALSE,"SI"}</definedName>
    <definedName name="vehicle" hidden="1">{"All",#N/A,FALSE,"Admin";"G only",#N/A,FALSE,"Admin";"No G",#N/A,FALSE,"Admin"}</definedName>
    <definedName name="vo" hidden="1">{"consolidated",#N/A,FALSE,"Sheet1";"cms",#N/A,FALSE,"Sheet1";"fse",#N/A,FALSE,"Sheet1"}</definedName>
    <definedName name="w" hidden="1">{#N/A,#N/A,FALSE,"Synth";"parc_DC",#N/A,FALSE,"parc";#N/A,#N/A,FALSE,"CA prest";#N/A,#N/A,FALSE,"Ratio CA";#N/A,#N/A,FALSE,"Trafic";"CR_GSM_acté_DC",#N/A,FALSE,"CR GSM_acté";#N/A,#N/A,FALSE,"Abonnés";#N/A,#N/A,FALSE,"Créances";#N/A,#N/A,FALSE,"Effectifs"}</definedName>
    <definedName name="WACC" hidden="1">{#N/A,#N/A,TRUE,"Pro Forma";#N/A,#N/A,TRUE,"PF_Bal";#N/A,#N/A,TRUE,"PF_INC";#N/A,#N/A,TRUE,"CBE";#N/A,#N/A,TRUE,"SWK"}</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f" hidden="1">{#N/A,#N/A,FALSE,"Synth";"parc_DC",#N/A,FALSE,"parc";#N/A,#N/A,FALSE,"CA prest";#N/A,#N/A,FALSE,"Ratio CA";#N/A,#N/A,FALSE,"Trafic";"CR_GSM_acté_DC",#N/A,FALSE,"CR GSM_acté";#N/A,#N/A,FALSE,"Abonnés";#N/A,#N/A,FALSE,"Créances";#N/A,#N/A,FALSE,"Effectifs"}</definedName>
    <definedName name="wfg" hidden="1">{#N/A,#N/A,FALSE,"Calc";#N/A,#N/A,FALSE,"Sensitivity";#N/A,#N/A,FALSE,"LT Earn.Dil.";#N/A,#N/A,FALSE,"Dil. AVP"}</definedName>
    <definedName name="whatever" hidden="1">{#N/A,#N/A,FALSE,"CHANGES";#N/A,#N/A,FALSE,"PROD SUMMARY";#N/A,#N/A,FALSE,"1995 PO SUM";#N/A,#N/A,FALSE,"1995 GEOG SUM";#N/A,#N/A,FALSE,"1996 PO SUM";#N/A,#N/A,FALSE,"1996 GEOG SUM"}</definedName>
    <definedName name="whatt" hidden="1">{"All",#N/A,FALSE,"Admin";"G only",#N/A,FALSE,"Admin";"No G",#N/A,FALSE,"Admin"}</definedName>
    <definedName name="wi" hidden="1">{#N/A,#N/A,FALSE,"Synth";"parc_DC",#N/A,FALSE,"parc";#N/A,#N/A,FALSE,"CA prest";#N/A,#N/A,FALSE,"Ratio CA";#N/A,#N/A,FALSE,"Trafic";"CR_GSM_acté_DC",#N/A,FALSE,"CR GSM_acté";#N/A,#N/A,FALSE,"Abonnés";#N/A,#N/A,FALSE,"Créances";#N/A,#N/A,FALSE,"Effectifs"}</definedName>
    <definedName name="WIN" hidden="1">{"' calendrier 2000'!$A$1:$Q$38"}</definedName>
    <definedName name="wrn.1." hidden="1">{#N/A,#N/A,FALSE,"Calc";#N/A,#N/A,FALSE,"Sensitivity";#N/A,#N/A,FALSE,"LT Earn.Dil.";#N/A,#N/A,FALSE,"Dil. AVP"}</definedName>
    <definedName name="wrn.1.1" hidden="1">{#N/A,#N/A,FALSE,"Calc";#N/A,#N/A,FALSE,"Sensitivity";#N/A,#N/A,FALSE,"LT Earn.Dil.";#N/A,#N/A,FALSE,"Dil. AVP"}</definedName>
    <definedName name="wrn.1.1.2" hidden="1">{#N/A,#N/A,FALSE,"Calc";#N/A,#N/A,FALSE,"Sensitivity";#N/A,#N/A,FALSE,"LT Earn.Dil.";#N/A,#N/A,FALSE,"Dil. AVP"}</definedName>
    <definedName name="wrn.1.1.3" hidden="1">{#N/A,#N/A,FALSE,"Calc";#N/A,#N/A,FALSE,"Sensitivity";#N/A,#N/A,FALSE,"LT Earn.Dil.";#N/A,#N/A,FALSE,"Dil. AVP"}</definedName>
    <definedName name="wrn.1.2" hidden="1">{#N/A,#N/A,FALSE,"Calc";#N/A,#N/A,FALSE,"Sensitivity";#N/A,#N/A,FALSE,"LT Earn.Dil.";#N/A,#N/A,FALSE,"Dil. AVP"}</definedName>
    <definedName name="wrn.1.3" hidden="1">{#N/A,#N/A,FALSE,"Calc";#N/A,#N/A,FALSE,"Sensitivity";#N/A,#N/A,FALSE,"LT Earn.Dil.";#N/A,#N/A,FALSE,"Dil. AVP"}</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999._.Corporate." hidden="1">{"1999Corporate",#N/A,FALSE,"Corporate"}</definedName>
    <definedName name="wrn.1999._.Funding." hidden="1">{"1999Funding",#N/A,FALSE,"Funding"}</definedName>
    <definedName name="wrn.1999._.Grp._.Adjustments." hidden="1">{"1999GrpAdj",#N/A,FALSE,"Grp Adj"}</definedName>
    <definedName name="wrn.1999._.Grp._.Consol." hidden="1">{"1999GrpConsol",#N/A,FALSE,"Grp Consol"}</definedName>
    <definedName name="wrn.1999._.HTUK." hidden="1">{"1999HTUK",#N/A,FALSE,"HTUK"}</definedName>
    <definedName name="wrn.1999._.International." hidden="1">{"1999International",#N/A,FALSE,"International"}</definedName>
    <definedName name="wrn.1999._.OIDL." hidden="1">{"1999OIDL",#N/A,FALSE,"OIDL"}</definedName>
    <definedName name="wrn.1999._.Trust." hidden="1">{"1999Trust",#N/A,FALSE,"Trust"}</definedName>
    <definedName name="WRN.2." hidden="1">{#N/A,#N/A,FALSE,"Calc";#N/A,#N/A,FALSE,"Sensitivity";#N/A,#N/A,FALSE,"LT Earn.Dil.";#N/A,#N/A,FALSE,"Dil. AVP"}</definedName>
    <definedName name="wrn.2000._.Corporate." hidden="1">{"2000Corporate",#N/A,FALSE,"Corporate"}</definedName>
    <definedName name="wrn.2000._.Funding." hidden="1">{"2000Funding",#N/A,FALSE,"Funding"}</definedName>
    <definedName name="wrn.2000._.Grp._.Adjustments." hidden="1">{"2000GrpAdj",#N/A,FALSE,"Grp Adj"}</definedName>
    <definedName name="wrn.2000._.Grp._.Consol." hidden="1">{"2000GrpConsol",#N/A,FALSE,"Grp Consol"}</definedName>
    <definedName name="wrn.2000._.HTUK." hidden="1">{"2000HTUK",#N/A,FALSE,"HTUK"}</definedName>
    <definedName name="wrn.2000._.International." hidden="1">{"2000International",#N/A,FALSE,"International"}</definedName>
    <definedName name="wrn.2000._.OIDL." hidden="1">{"2000OIDL",#N/A,FALSE,"OIDL"}</definedName>
    <definedName name="wrn.2000._.Trust." hidden="1">{"2000Trust",#N/A,FALSE,"Trust"}</definedName>
    <definedName name="wrn.50_.501"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Aging._.and._.Trend._.Analysis."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{"CS",#N/A,FALSE,"STATS";"Inc",#N/A,FALSE,"PLAN";"CASH F",#N/A,FALSE,"PLAN";"Bal S",#N/A,FALSE,"BALANCE SHEET";"Subs",#N/A,FALSE,"PLAN";"Dep",#N/A,FALSE,"PLAN";"Debt",#N/A,FALSE,"PLAN";"Sales",#N/A,FALSE,"PLAN";"FA",#N/A,FALSE,"PLAN";"Rev",#N/A,FALSE,"PLAN";"Exp",#N/A,FALSE,"PLAN"}</definedName>
    <definedName name="wrn.All._.Affiliates."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{"casespecific",#N/A,FALSE,"Assumptions"}</definedName>
    <definedName name="wrn.Auto._.Comp." hidden="1">{#N/A,#N/A,FALSE,"Sheet1"}</definedName>
    <definedName name="wrn.away." hidden="1">{"away stand alones",#N/A,FALSE,"Target"}</definedName>
    <definedName name="wrn.Balance._.sheet." hidden="1">{"Balance sheet",#N/A,TRUE,"DB1_format"}</definedName>
    <definedName name="wrn.BOQ22MAI." hidden="1">{#N/A,#N/A,FALSE,"GRAND TOTAL PRICE";#N/A,#N/A,FALSE,"SUMM_DISC";#N/A,#N/A,FALSE,"SUMM_BASE";#N/A,#N/A,FALSE,"NSS FORM 1 SITE N°1";#N/A,#N/A,FALSE,"NSS FORM 1 SITE N°2";#N/A,#N/A,FALSE,"NSS FORM 2 SITE N°1";#N/A,#N/A,FALSE,"NSS FORM 2 SITE N°2";#N/A,#N/A,FALSE,"NSS FORM 3 SITE N°1";#N/A,#N/A,FALSE,"NSS FORM 3 SITE N°2";#N/A,#N/A,FALSE,"NSS FORM 4 SITE N°1";#N/A,#N/A,FALSE,"NSS FORM 4 SITE N°2";#N/A,#N/A,FALSE,"NSS FORM 5 SITE N°1";#N/A,#N/A,FALSE,"NSS FORM 5 SITE N°2";#N/A,#N/A,FALSE,"NSS FORM 6 SITE N°1";#N/A,#N/A,FALSE,"NSS FORM 6 SITE N°2";#N/A,#N/A,FALSE,"NSS FORM 7 OMC-NSS";#N/A,#N/A,FALSE,"FORM 8 SMSC";#N/A,#N/A,FALSE,"FORM 9 VM"}</definedName>
    <definedName name="wrn.BPlan." hidden="1">{#N/A,#N/A,FALSE,"F_Plan";#N/A,#N/A,FALSE,"Parameter"}</definedName>
    <definedName name="wrn.brian." hidden="1">{#N/A,#N/A,FALSE,"output";#N/A,#N/A,FALSE,"contrib";#N/A,#N/A,FALSE,"profile";#N/A,#N/A,FALSE,"comps"}</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hidden="1">{#N/A,#N/A,TRUE,"Config1";#N/A,#N/A,TRUE,"Config2";#N/A,#N/A,TRUE,"Config3";#N/A,#N/A,TRUE,"Config4";#N/A,#N/A,TRUE,"Config5";#N/A,#N/A,TRUE,"Config6";#N/A,#N/A,TRUE,"Config7"}</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ildups." hidden="1">{"ACQ",#N/A,FALSE,"ACQUISITIONS";"ACQF",#N/A,FALSE,"ACQUISITIONS";"PF",#N/A,FALSE,"PROYECTOVILA";"PV",#N/A,FALSE,"PROYECTOVILA";"Fee Dev",#N/A,FALSE,"DEVELOPMENT GROWTH";"gd",#N/A,FALSE,"DEVELOPMENT GROWTH"}</definedName>
    <definedName name="wrn.cash." hidden="1">{"assumption cash",#N/A,TRUE,"Merger";"has gets cash",#N/A,TRUE,"Merger";"accretion dilution",#N/A,TRUE,"Merger";"comparison credit stats",#N/A,TRUE,"Merger";"pf credit stats",#N/A,TRUE,"Merger";"pf sheets",#N/A,TRUE,"Merger"}</definedName>
    <definedName name="wrn.Cash._.Plan." hidden="1">{"cash plan",#N/A,FALSE,"fccashflow"}</definedName>
    <definedName name="wrn.CEO_black._.white." hidden="1">{"ceo_fin",#N/A,FALSE,"2-financial";"ceo_ops",#N/A,FALSE,"3-operating";"ceo_trad",#N/A,FALSE,"GRP";"ceo_rev",#N/A,FALSE,"GRP";"ceo_opex",#N/A,FALSE,"GRP";"ceo_manp",#N/A,FALSE,"GRP";"ceo_capex",#N/A,FALSE,"GRP";"ceo_bank",#N/A,FALSE,"BANK full";"ceo_mkt val",#N/A,FALSE,"Mkt Val";"ceo_Mkt_cons",#N/A,FALSE,"mkt con"}</definedName>
    <definedName name="wrn.CEO_colour." hidden="1">{"ceo_shareh",#N/A,FALSE,"SHARES";"ceo_debth",#N/A,FALSE,"CHART"}</definedName>
    <definedName name="wrn.Cider." hidden="1">{#N/A,#N/A,FALSE,"Cider Segment";#N/A,#N/A,FALSE,"Bulmers";#N/A,#N/A,FALSE,"Ritz";#N/A,#N/A,FALSE,"Stag";#N/A,#N/A,FALSE,"Cider Others"}</definedName>
    <definedName name="wrn.comps." hidden="1">{"comps",#N/A,FALSE,"comps";"notes",#N/A,FALSE,"comps"}</definedName>
    <definedName name="wrn.Comps1_Printing." hidden="1">{"comps1_1",#N/A,FALSE,"Comps1";"comps1_2",#N/A,FALSE,"Comps1";"comps1_3",#N/A,FALSE,"Comps1";"comps1_4",#N/A,FALSE,"Comps1";"comps1_5",#N/A,FALSE,"Comps1"}</definedName>
    <definedName name="wrn.Comps2_Printing." hidden="1">{"comps2_1",#N/A,FALSE,"Comps2";"comps2_2",#N/A,FALSE,"Comps2";"comps2_3",#N/A,FALSE,"Comps2";"comps2_4",#N/A,FALSE,"Comps2";"comps2_5",#N/A,FALSE,"Comps2"}</definedName>
    <definedName name="wrn.Consolidated._.Set." hidden="1">{"Consolidated IS w Ratios",#N/A,FALSE,"Consolidated";"Consolidated CF",#N/A,FALSE,"Consolidated";"Consolidated DCF",#N/A,FALSE,"Consolidated"}</definedName>
    <definedName name="wrn.contribution." hidden="1">{#N/A,#N/A,FALSE,"Contribution Analysis"}</definedName>
    <definedName name="wrn.cooper." hidden="1">{#N/A,#N/A,TRUE,"Pro Forma";#N/A,#N/A,TRUE,"PF_Bal";#N/A,#N/A,TRUE,"PF_INC";#N/A,#N/A,TRUE,"CBE";#N/A,#N/A,TRUE,"SWK"}</definedName>
    <definedName name="wrn.Cover." hidden="1">{"coverall",#N/A,FALSE,"Definitions";"cover1",#N/A,FALSE,"Definitions";"cover2",#N/A,FALSE,"Definitions";"cover3",#N/A,FALSE,"Definitions";"cover4",#N/A,FALSE,"Definitions";"cover5",#N/A,FALSE,"Definitions";"blank",#N/A,FALSE,"Definitions"}</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hidden="1">{"page1",#N/A,TRUE,"CSC";"page2",#N/A,TRUE,"CSC"}</definedName>
    <definedName name="wrn.CSC2" hidden="1">{"page1",#N/A,TRUE,"CSC";"page2",#N/A,TRUE,"CSC"}</definedName>
    <definedName name="wrn.csc2." hidden="1">{#N/A,#N/A,FALSE,"ORIX CSC"}</definedName>
    <definedName name="wrn.Darwin." hidden="1">{#N/A,#N/A,FALSE,"Title";#N/A,#N/A,FALSE,"Assumptions";#N/A,#N/A,FALSE,"Bidder";#N/A,#N/A,FALSE,"Target";#N/A,#N/A,FALSE,"Curr";#N/A,#N/A,FALSE,"Prosp";#N/A,#N/A,FALSE,"Prosp+1";#N/A,#N/A,FALSE,"Summary";#N/A,#N/A,FALSE,"Debtsched";#N/A,#N/A,FALSE,"Sensitivities"}</definedName>
    <definedName name="wrn.database." hidden="1">{"subs",#N/A,FALSE,"database ";"proportional",#N/A,FALSE,"database "}</definedName>
    <definedName name="wrn.DC." hidden="1">{#N/A,#N/A,FALSE,"Synth";"parc_DC",#N/A,FALSE,"parc";#N/A,#N/A,FALSE,"CA prest";#N/A,#N/A,FALSE,"Ratio CA";#N/A,#N/A,FALSE,"Trafic";"CR_GSM_acté_DC",#N/A,FALSE,"CR GSM_acté";#N/A,#N/A,FALSE,"Abonnés";#N/A,#N/A,FALSE,"Créances";#N/A,#N/A,FALSE,"Effectifs"}</definedName>
    <definedName name="wrn.dcf." hidden="1">{"mgmt forecast",#N/A,FALSE,"Mgmt Forecast";"dcf table",#N/A,FALSE,"Mgmt Forecast";"sensitivity",#N/A,FALSE,"Mgmt Forecast";"table inputs",#N/A,FALSE,"Mgmt Forecast";"calculations",#N/A,FALSE,"Mgmt Forecast"}</definedName>
    <definedName name="wrn.Detailed._.print." hidden="1">{#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name="wrn.DEV_SYNTHESE." hidden="1">{"COST",#N/A,FALSE,"SYNTHESE";"MARGIN",#N/A,FALSE,"SYNTHESE";"LOT_COM",#N/A,FALSE,"SYNTHESE"}</definedName>
    <definedName name="wrn.dil_anal." hidden="1">{"hiden",#N/A,FALSE,"14";"hidden",#N/A,FALSE,"16";"hidden",#N/A,FALSE,"18";"hidden",#N/A,FALSE,"20"}</definedName>
    <definedName name="wrn.dil_anal.1" hidden="1">{"hiden",#N/A,FALSE,"14";"hidden",#N/A,FALSE,"16";"hidden",#N/A,FALSE,"18";"hidden",#N/A,FALSE,"20"}</definedName>
    <definedName name="wrn.document." hidden="1">{"consolidated",#N/A,FALSE,"Sheet1";"cms",#N/A,FALSE,"Sheet1";"fse",#N/A,FALSE,"Sheet1"}</definedName>
    <definedName name="wrn.document.1" hidden="1">{"comp",#N/A,FALSE,"SPEC";"footnotes",#N/A,FALSE,"SPEC"}</definedName>
    <definedName name="wrn.documentaero." hidden="1">{"comps2",#N/A,FALSE,"AERO";"footnotes",#N/A,FALSE,"AERO"}</definedName>
    <definedName name="wrn.documentaero.1" hidden="1">{"comps2",#N/A,FALSE,"AERO";"footnotes",#N/A,FALSE,"AERO"}</definedName>
    <definedName name="wrn.documenthand." hidden="1">{"comps",#N/A,FALSE,"HANDPACK";"footnotes",#N/A,FALSE,"HANDPACK"}</definedName>
    <definedName name="wrn.documenthand.1" hidden="1">{"comps",#N/A,FALSE,"HANDPACK";"footnotes",#N/A,FALSE,"HANDPACK"}</definedName>
    <definedName name="wrn.EMM._.detail._.edition." hidden="1">{#N/A,#N/A,TRUE,"Cover";#N/A,#N/A,TRUE,"Content";"Orders EMM",#N/A,TRUE,"Order Sales";"project EMM",#N/A,TRUE,"Project Control";"Cash EMM",#N/A,TRUE,"Cash Control";"KPI EMM",#N/A,TRUE,"KPI-EMM";"Empl EMM",#N/A,TRUE,"Employees"}</definedName>
    <definedName name="wrn.Employee._.Efficiency." hidden="1">{"Employee Efficiency",#N/A,FALSE,"Benchmarking"}</definedName>
    <definedName name="wrn.equity._.comps."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T_SG." hidden="1">{#N/A,#N/A,FALSE,"Créances";#N/A,#N/A,FALSE,"Effectifs";#N/A,#N/A,FALSE,"SI"}</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Base." hidden="1">{"Eur Base Top",#N/A,FALSE,"Europe Base";"Eur Base Bottom",#N/A,FALSE,"Europe Base"}</definedName>
    <definedName name="wrn.Europe._.Set." hidden="1">{"IS w Ratios",#N/A,FALSE,"Europe";"PF CF Europe",#N/A,FALSE,"Europe";"DCF Eur Matrix",#N/A,FALSE,"Europe"}</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ports." hidden="1">{#N/A,#N/A,FALSE,"Exports";#N/A,#N/A,FALSE,"Carolans";#N/A,#N/A,FALSE,"Irish Mist";#N/A,#N/A,FALSE,"Tullamore Dew";#N/A,#N/A,FALSE,"Other Brands Exports";#N/A,#N/A,FALSE,"Frangelico";#N/A,#N/A,FALSE,"Mondoro";#N/A,#N/A,FALSE,"Aperol";#N/A,#N/A,FALSE,"Others Exports"}</definedName>
    <definedName name="wrn.Far._.East._.Set." hidden="1">{"IS FE with Ratios",#N/A,FALSE,"Far East";"PF CF Far East",#N/A,FALSE,"Far East";"DCF Far East Matrix",#N/A,FALSE,"Far East"}</definedName>
    <definedName name="wrn.FE._.Sensitivity." hidden="1">{"Far East Top",#N/A,FALSE,"FE Model";"Far East Mid",#N/A,FALSE,"FE Model";"Far East Base",#N/A,FALSE,"FE Model"}</definedName>
    <definedName name="wrn.FFR." hidden="1">{"header",#N/A,FALSE,"Header";"summary",#N/A,FALSE,"Summary";"profit&amp;loss",#N/A,FALSE,"GRP";"balance sheet",#N/A,FALSE,"Bal Sht";"manpower",#N/A,FALSE,"GRP";"capex",#N/A,FALSE,"GRP";"bank",#N/A,FALSE,"BANK";"mktvalue",#N/A,FALSE,"Mkt Val";#N/A,#N/A,FALSE,"CloProj2003"}</definedName>
    <definedName name="wrn.final._.closure." hidden="1">{"profit&amp;loss",#N/A,FALSE,"GRP";"revenue",#N/A,FALSE,"GRP";"manpower",#N/A,FALSE,"GRP";"capex",#N/A,FALSE,"GRP";"provisions",#N/A,FALSE,"GRP"}</definedName>
    <definedName name="wrn.Financials_long." hidden="1">{"IS",#N/A,FALSE,"Financials2 (Expanded)";"bsa",#N/A,FALSE,"Financials2 (Expanded)";"BS",#N/A,FALSE,"Financials2 (Expanded)";"CF",#N/A,FALSE,"Financials2 (Expanded)"}</definedName>
    <definedName name="wrn.Friendly." hidden="1">{#N/A,#N/A,TRUE,"Julio";#N/A,#N/A,TRUE,"Agosto";#N/A,#N/A,TRUE,"BHCo";#N/A,#N/A,TRUE,"Abril";#N/A,#N/A,TRUE,"Pro Forma"}</definedName>
    <definedName name="wrn.Full." hidden="1">{#N/A,#N/A,FALSE,"Cover";"outputs total",#N/A,FALSE,"Outputs"}</definedName>
    <definedName name="wrn.Full._.model." hidden="1">{#N/A,#N/A,TRUE,"Cover sheet";#N/A,#N/A,TRUE,"Summary";#N/A,#N/A,TRUE,"Key Assumptions";#N/A,#N/A,TRUE,"Profit &amp; Loss";#N/A,#N/A,TRUE,"Balance Sheet";#N/A,#N/A,TRUE,"Cashflow";#N/A,#N/A,TRUE,"IRR";#N/A,#N/A,TRUE,"Ratios";#N/A,#N/A,TRUE,"Debt analysis"}</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raph._.edition." hidden="1">{#N/A,#N/A,FALSE,"KPI-EMM-Graph";#N/A,#N/A,FALSE,"Cost Graph";#N/A,#N/A,FALSE,"Cash graph";#N/A,#N/A,FALSE,"Order Sales Graph"}</definedName>
    <definedName name="wrn.gugyug." hidden="1">{#N/A,#N/A,FALSE,"Globtel";#N/A,#N/A,FALSE,"Globtel"}</definedName>
    <definedName name="wrn.Guillaume." hidden="1">{"MARCH",#N/A,FALSE,"CONSO OPEX 5899";"FullOpex",#N/A,FALSE,"CONSO OPEX 5899"}</definedName>
    <definedName name="wrn.imp." hidden="1">{"vue1",#N/A,FALSE,"synthese";"vue2",#N/A,FALSE,"synthese"}</definedName>
    <definedName name="wrn.interim._.closure." hidden="1">{"profit&amp;loss",#N/A,FALSE,"GRP";"revenue",#N/A,FALSE,"GRP";"capex1",#N/A,FALSE,"GRP";"provisions",#N/A,FALSE,"GRP"}</definedName>
    <definedName name="wrn.international." hidden="1">{"sweden",#N/A,FALSE,"Sweden";"germany",#N/A,FALSE,"Germany";"portugal",#N/A,FALSE,"Portugal";"belgium",#N/A,FALSE,"Belgium";"japan",#N/A,FALSE,"Japan ";"italy",#N/A,FALSE,"Italy";"spain",#N/A,FALSE,"Spain";"korea",#N/A,FALSE,"Korea"}</definedName>
    <definedName name="wrn.Italy." hidden="1">{#N/A,#N/A,FALSE,"Italy";#N/A,#N/A,FALSE,"Aperol Italy";#N/A,#N/A,FALSE,"Aperol Soda Italy";#N/A,#N/A,FALSE,"Spumanti";#N/A,#N/A,FALSE,"Barbieri Liqueur Italy";#N/A,#N/A,FALSE,"Others Italy"}</definedName>
    <definedName name="wrn.JG._.FE._.Dollar." hidden="1">{"JG FE Top",#N/A,FALSE,"JG FE $";"JG FE Bottom",#N/A,FALSE,"JG FE $"}</definedName>
    <definedName name="wrn.JG._.FE._.Yen." hidden="1">{"JG FE Top",#N/A,FALSE,"JG FE ¥";"JG FE Bottom",#N/A,FALSE,"JG FE ¥"}</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hidden="1">{"a",#N/A,FALSE,"LBO - 100%, Sell C,CT 98......";"aa",#N/A,FALSE,"LBO - 100%, Sell C,CT 98......";"aaa",#N/A,FALSE,"LBO - 100%, Sell C,CT 98......";"aaaa",#N/A,FALSE,"LBO - 100%, Sell C,CT 98......";"aaaaa",#N/A,FALSE,"LBO - 100%, Sell C,CT 98......";"aaaaaa",#N/A,FALSE,"LBO - 100%, Sell C,CT 98......"}</definedName>
    <definedName name="wrn.Lewers." hidden="1">{#N/A,#N/A,FALSE,"Assumps";#N/A,#N/A,FALSE,"Summary3";#N/A,#N/A,FALSE,"Owned";#N/A,#N/A,FALSE,"Ewa";#N/A,#N/A,FALSE,"Waikiki";#N/A,#N/A,FALSE,"Reef";#N/A,#N/A,FALSE,"Kuhio";#N/A,#N/A,FALSE,"East";#N/A,#N/A,FALSE,"West";#N/A,#N/A,FALSE,"Islander_Waikiki";#N/A,#N/A,FALSE,"Surf";#N/A,#N/A,FALSE,"Ala_Wai";#N/A,#N/A,FALSE,"Reef_Towers";#N/A,#N/A,FALSE,"Waikiki_Tower";#N/A,#N/A,FALSE,"Edgewater";#N/A,#N/A,FALSE,"Village";#N/A,#N/A,FALSE,"Coral_Seas";#N/A,#N/A,FALSE,"Reef_Lanais";#N/A,#N/A,FALSE,"Royal";#N/A,#N/A,FALSE,"Retail";#N/A,#N/A,FALSE,"Retail2";#N/A,#N/A,FALSE,"Parking";#N/A,#N/A,FALSE,"Manage";#N/A,#N/A,FALSE,"Manback";#N/A,#N/A,FALSE,"Invest";#N/A,#N/A,FALSE,"Commercial";#N/A,#N/A,FALSE,"Dev"}</definedName>
    <definedName name="wrn.LewersII." hidden="1">{#N/A,#N/A,FALSE,"Assumps";#N/A,#N/A,FALSE,"Owned";#N/A,#N/A,FALSE,"Retail";#N/A,#N/A,FALSE,"Retail2";#N/A,#N/A,FALSE,"Parking";#N/A,#N/A,FALSE,"Manage";#N/A,#N/A,FALSE,"Manback";#N/A,#N/A,FALSE,"Invest";#N/A,#N/A,FALSE,"Commercial"}</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ne._.Efficiency." hidden="1">{"Line Efficiency",#N/A,FALSE,"Benchmarking"}</definedName>
    <definedName name="wrn.Mahmoud." hidden="1">{#N/A,#N/A,FALSE,"Objectives"}</definedName>
    <definedName name="wrn.mario" hidden="1">{"Area1",#N/A,TRUE,"Obiettivo";"Area2",#N/A,TRUE,"Dati per Direzione"}</definedName>
    <definedName name="wrn.Mario." hidden="1">{"Area1",#N/A,TRUE,"Obiettivo";"Area2",#N/A,TRUE,"Dati per Direzione"}</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emo." hidden="1">{#N/A,#N/A,TRUE,"financial";#N/A,#N/A,TRUE,"plants"}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PLANS." hidden="1">{"Assumptions1",#N/A,FALSE,"Assumptions";"MergerPlans1","20yearamort",FALSE,"MergerPlans";"MergerPlans1","40yearamort",FALSE,"MergerPlans";"MergerPlans2",#N/A,FALSE,"MergerPlans";"inputs",#N/A,FALSE,"MergerPlans"}</definedName>
    <definedName name="wrn.Model." hidden="1">{"DCF",#N/A,FALSE,"DCF"}</definedName>
    <definedName name="wrn.Monthly." hidden="1">{#N/A,#N/A,FALSE,"EL-M-01";#N/A,#N/A,FALSE,"EL-M-02";#N/A,#N/A,FALSE,"EL-M-03";#N/A,#N/A,FALSE,"EL-S-01";#N/A,#N/A,FALSE,"EL-S-02";#N/A,#N/A,FALSE,"EL-A-01";#N/A,#N/A,FALSE,"EL-A-02"}</definedName>
    <definedName name="wrn.NA_ULV._.Tand._.B." hidden="1">{"NA Top",#N/A,FALSE,"NA-ULV";"NA Bottom",#N/A,FALSE,"NA-ULV"}</definedName>
    <definedName name="wrn.NA._.Model._.T._.and._.B." hidden="1">{"NA Top",#N/A,FALSE,"NA Model";"NA Bottom",#N/A,FALSE,"NA Model"}</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_.Set." hidden="1">{"NA Is w Ratios",#N/A,FALSE,"North America";"PF CFlow NA",#N/A,FALSE,"North America";"NA DCF Matrix",#N/A,FALSE,"North America"}</definedName>
    <definedName name="wrn.Omzet." hidden="1">{#N/A,#N/A,FALSE,"INVOICED P-M";#N/A,#N/A,FALSE,"98 GESPREID"}</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ndL_Summary." hidden="1">{#N/A,#N/A,FALSE,"Summary"}</definedName>
    <definedName name="wrn.perimeter._.comp." hidden="1">{#N/A,#N/A,TRUE,"comp";#N/A,#N/A,TRUE,"notes"}</definedName>
    <definedName name="wrn.Pianocomp." hidden="1">{"page_1",#N/A,TRUE,"Sheet1";"page_2",#N/A,TRUE,"Sheet1";"page_notes",#N/A,TRUE,"Sheet1"}</definedName>
    <definedName name="wrn.PL._.guldens." hidden="1">{#N/A,#N/A,TRUE,"Subscriber base";#N/A,#N/A,TRUE,"P&amp;L EuroNet Internet BV";#N/A,#N/A,TRUE,"CorporateRev";#N/A,#N/A,TRUE,"ResidentialRev";#N/A,#N/A,TRUE,"I K C";#N/A,#N/A,TRUE,"Animation";#N/A,#N/A,TRUE,"Marketing";#N/A,#N/A,TRUE,"Sales";#N/A,#N/A,TRUE,"CustomerCare";#N/A,#N/A,TRUE,"IS IT";#N/A,#N/A,TRUE,"GEA"}</definedName>
    <definedName name="wrn.plbscf." hidden="1">{"p_l",#N/A,FALSE,"Summary Accounts"}</definedName>
    <definedName name="wrn.PRESENTATION." hidden="1">{#N/A,#N/A,TRUE,"PRODUCTION CAPEX OVERVIEW";#N/A,#N/A,TRUE,"Affiliate Detail";#N/A,#N/A,TRUE,"CAPEX PLANNING OVERVIEW"}</definedName>
    <definedName name="wrn.PrimeCo." hidden="1">{"print 1",#N/A,FALSE,"PrimeCo PCS";"print 2",#N/A,FALSE,"PrimeCo PCS";"valuation",#N/A,FALSE,"PrimeCo PCS"}</definedName>
    <definedName name="wrn.Principal." hidden="1">{#N/A,#N/A,FALSE,"Principal";#N/A,#N/A,FALSE,"Principal2"}</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hidden="1">{"CSC_1",#N/A,FALSE,"CSC Outputs";"CSC_2",#N/A,FALSE,"CSC Outputs"}</definedName>
    <definedName name="wrn.Print_CSC2" hidden="1">{"CSC_1",#N/A,FALSE,"CSC Outputs";"CSC_2",#N/A,FALSE,"CSC Outputs"}</definedName>
    <definedName name="wrn.Print." hidden="1">{#N/A,#N/A,FALSE,"Underlying";#N/A,#N/A,FALSE,"Assumptions";#N/A,#N/A,FALSE,"Financials";#N/A,#N/A,FALSE,"Summary";#N/A,#N/A,FALSE,"Acqpl";#N/A,#N/A,FALSE,"Yearonepl";#N/A,#N/A,FALSE,"Yeartwopl";#N/A,#N/A,FALSE,"Balsheet";#N/A,#N/A,FALSE,"Cashflow";#N/A,#N/A,FALSE,"Sensitivities";#N/A,#N/A,FALSE,"Sensitivities2"}</definedName>
    <definedName name="wrn.print._.all."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Europe._.TandB." hidden="1">{"Print Top",#N/A,FALSE,"Europe Model";"Print Bottom",#N/A,FALSE,"Europe Model"}</definedName>
    <definedName name="wrn.Print._.FE._.T._.and._.B." hidden="1">{"Far East Top",#N/A,FALSE,"FE Model";"Far East Bottom",#N/A,FALSE,"FE Model"}</definedName>
    <definedName name="wrn.print._.pages." hidden="1">{#N/A,#N/A,FALSE,"Spain MKT";#N/A,#N/A,FALSE,"Assumptions";#N/A,#N/A,FALSE,"Adve";#N/A,#N/A,FALSE,"E-Commerce";#N/A,#N/A,FALSE,"Opex";#N/A,#N/A,FALSE,"P&amp;L";#N/A,#N/A,FALSE,"FCF &amp; DCF"}</definedName>
    <definedName name="wrn.print._.standalone." hidden="1">{"standalone1",#N/A,FALSE,"DCFBase";"standalone2",#N/A,FALSE,"DCFBase"}</definedName>
    <definedName name="wrn.Print._.the._.lot." hidden="1">{"First Page",#N/A,FALSE,"Surfactants LBO";"Second Page",#N/A,FALSE,"Surfactants LBO"}</definedName>
    <definedName name="wrn.Print.2" hidden="1">{#N/A,#N/A,FALSE,"Assumps";#N/A,#N/A,FALSE,"Data";#N/A,#N/A,FALSE,"Data (2)";#N/A,#N/A,FALSE,"AcqyrP&amp;L";#N/A,#N/A,FALSE,"Acq+1P&amp;L";#N/A,#N/A,FALSE,"Acq+2P&amp;L";#N/A,#N/A,FALSE,"Cashflow";#N/A,#N/A,FALSE,"BalSheet";#N/A,#N/A,FALSE,"Bidder";#N/A,#N/A,FALSE,"Target";#N/A,#N/A,FALSE,"Tgtann";#N/A,#N/A,FALSE,"Topt";#N/A,#N/A,FALSE,"Disp";#N/A,#N/A,FALSE,"Dann";#N/A,#N/A,FALSE,"Syns"}</definedName>
    <definedName name="wrn.printall." hidden="1">{"projections1",#N/A,FALSE,"projections";"dcf2",#N/A,FALSE,"dcf";"dcf no profit sharing",#N/A,FALSE,"dcf no profit sharing";"avp1",#N/A,FALSE,"avp"}</definedName>
    <definedName name="wrn.printing." hidden="1">{#N/A,#N/A,FALSE,"trans"}</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hidden="1">{#N/A,#N/A,FALSE,"Eastern";#N/A,#N/A,FALSE,"Western"}</definedName>
    <definedName name="wrn.Printing._.the._.transactions._.sheets.2" hidden="1">{#N/A,#N/A,FALSE,"Eastern";#N/A,#N/A,FALSE,"Western"}</definedName>
    <definedName name="wrn.printsyns." hidden="1">{"dcfsyn",#N/A,FALSE,"DCFSYN";"senssyn",#N/A,FALSE,"DCFSYN"}</definedName>
    <definedName name="wrn.ProMonte." hidden="1">{#N/A,#N/A,FALSE,"Assump";"view1",#N/A,FALSE,"P&amp;L";"view2",#N/A,FALSE,"P&amp;L";#N/A,#N/A,FALSE,"P&amp;L PERC";"view1",#N/A,FALSE,"BS";"view2",#N/A,FALSE,"BS";#N/A,#N/A,FALSE,"CF";#N/A,#N/A,FALSE,"Debt Rep";#N/A,#N/A,FALSE,"Ratios";#N/A,#N/A,FALSE,"adjusted BS";#N/A,#N/A,FALSE,"96-97 P&amp;L";#N/A,#N/A,FALSE,"96-97 BS"}</definedName>
    <definedName name="wrn.Qrtly._.Grp._.Consol." hidden="1">{"QTRLYGrpConsol",#N/A,FALSE,"Grp Consol"}</definedName>
    <definedName name="wrn.Qrtly._.International." hidden="1">{"QTRLYInternational",#N/A,FALSE,"International"}</definedName>
    <definedName name="wrn.Qtrly._.Corporate." hidden="1">{"QTRLYCorporate",#N/A,FALSE,"Corporate"}</definedName>
    <definedName name="wrn.Qtrly._.Funding." hidden="1">{"QTRLYFunding",#N/A,FALSE,"Funding"}</definedName>
    <definedName name="wrn.Qtrly._.Grp._.Adjustments." hidden="1">{"QTRLYGrpAdj",#N/A,FALSE,"Grp Adj"}</definedName>
    <definedName name="wrn.Qtrly._.HTUK." hidden="1">{"QTRLYHTUK",#N/A,FALSE,"HTUK"}</definedName>
    <definedName name="wrn.Qtrly._.OIDL." hidden="1">{"QTRLYOIDL",#N/A,FALSE,"OIDL"}</definedName>
    <definedName name="wrn.Qtrly._.Trust." hidden="1">{"QTRLYTrust",#N/A,FALSE,"Trust"}</definedName>
    <definedName name="wrn.rapport._.1." hidden="1">{#N/A,#N/A,TRUE,"Forecast &amp; Analysis";#N/A,#N/A,TRUE,"Market Values";#N/A,#N/A,TRUE,"Ratios";#N/A,#N/A,TRUE,"Regressions";#N/A,#N/A,TRUE,"Market Values";#N/A,#N/A,TRUE,"Parameters &amp; Results"}</definedName>
    <definedName name="wrn.ratios." hidden="1">{"ratios",#N/A,FALSE,"Summary Accounts"}</definedName>
    <definedName name="wrn.Report1." hidden="1">{#N/A,#N/A,FALSE,"Operations";#N/A,#N/A,FALSE,"Financials"}</definedName>
    <definedName name="wrn.REPORTING._.PACKAGE." hidden="1">{#N/A,#N/A,TRUE,"Cover";#N/A,#N/A,TRUE,"BS";#N/A,#N/A,TRUE,"BS (2)";#N/A,#N/A,TRUE,"BS (3)";#N/A,#N/A,TRUE,"Supp Info-BS";#N/A,#N/A,TRUE,"IS";#N/A,#N/A,TRUE,"IS (2)";#N/A,#N/A,TRUE,"IS (3)";#N/A,#N/A,TRUE,"Supp Info-IS";#N/A,#N/A,TRUE,"CF";#N/A,#N/A,TRUE,"Supp Info-CF";#N/A,#N/A,TRUE,"SH";#N/A,#N/A,TRUE,"Supp Info-SH"}</definedName>
    <definedName name="wrn.RHD._.RESERVE._.REPORT." hidden="1">{#N/A,#N/A,FALSE,"CHANGES";#N/A,#N/A,FALSE,"PROD SUMMARY";#N/A,#N/A,FALSE,"1995 PO SUM";#N/A,#N/A,FALSE,"1995 GEOG SUM";#N/A,#N/A,FALSE,"1996 PO SUM";#N/A,#N/A,FALSE,"1996 GEOG SUM"}</definedName>
    <definedName name="wrn.rhd.whatever" hidden="1">{#N/A,#N/A,FALSE,"CHANGES";#N/A,#N/A,FALSE,"PROD SUMMARY";#N/A,#N/A,FALSE,"1995 PO SUM";#N/A,#N/A,FALSE,"1995 GEOG SUM";#N/A,#N/A,FALSE,"1996 PO SUM";#N/A,#N/A,FALSE,"1996 GEOG SUM"}</definedName>
    <definedName name="wrn.sales." hidden="1">{"sales",#N/A,FALSE,"Sales";"sales existing",#N/A,FALSE,"Sales";"sales rd1",#N/A,FALSE,"Sales";"sales rd2",#N/A,FALSE,"Sales"}</definedName>
    <definedName name="wrn.Sapere."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ens." hidden="1">{#N/A,#N/A,FALSE,"Sensitivities";#N/A,#N/A,FALSE,"Sensitivities2"}</definedName>
    <definedName name="wrn.sens.2" hidden="1">{#N/A,#N/A,FALSE,"Sensitivities";#N/A,#N/A,FALSE,"Sensitivities2"}</definedName>
    <definedName name="wrn.sens3." hidden="1">{#N/A,#N/A,TRUE,"DCF";#N/A,#N/A,TRUE,"DCF"}</definedName>
    <definedName name="wrn.sensitivity." hidden="1">{"sensitivity",#N/A,FALSE,"Sensitivity"}</definedName>
    <definedName name="wrn.sensitivity._.analyses." hidden="1">{"general",#N/A,FALSE,"Assumptions"}</definedName>
    <definedName name="wrn.Seth." hidden="1">{#N/A,#N/A,FALSE,"Assumps";#N/A,#N/A,FALSE,"Summary";#N/A,#N/A,FALSE,"Owned";#N/A,#N/A,FALSE,"Waikiki";#N/A,#N/A,FALSE,"Reef";#N/A,#N/A,FALSE,"Kuhio";#N/A,#N/A,FALSE,"East";#N/A,#N/A,FALSE,"West";#N/A,#N/A,FALSE,"Reef_Towers";#N/A,#N/A,FALSE,"Waikiki_Tower";#N/A,#N/A,FALSE,"Edgewater";#N/A,#N/A,FALSE,"Village";#N/A,#N/A,FALSE,"Coral_Seas";#N/A,#N/A,FALSE,"Reef_Lanais";#N/A,#N/A,FALSE,"Royal";#N/A,#N/A,FALSE,"Islander_Waikiki";#N/A,#N/A,FALSE,"Surf";#N/A,#N/A,FALSE,"Ala_Wai";"Manage1",#N/A,FALSE,"Manage";#N/A,#N/A,FALSE,"Manback";"Invest1",#N/A,FALSE,"Invest";"Commercial1",#N/A,FALSE,"Commercial";"Dev1",#N/A,FALSE,"Dev"}</definedName>
    <definedName name="wrn.SethII." hidden="1">{#N/A,#N/A,FALSE,"Assumps";#N/A,#N/A,FALSE,"Owned";#N/A,#N/A,FALSE,"Manage";#N/A,#N/A,FALSE,"Manback";#N/A,#N/A,FALSE,"Invest";#N/A,#N/A,FALSE,"Commercial"}</definedName>
    <definedName name="wrn.SHORT." hidden="1">{"CREDIT STATISTICS",#N/A,FALSE,"STATS";"CF_AND_IS",#N/A,FALSE,"PLAN";"BALSHEET",#N/A,FALSE,"BALANCE SHEET"}</definedName>
    <definedName name="wrn.SKSCS1." hidden="1">{#N/A,#N/A,FALSE,"Antony Financials";#N/A,#N/A,FALSE,"Cowboy Financials";#N/A,#N/A,FALSE,"Combined";#N/A,#N/A,FALSE,"Valuematrix";#N/A,#N/A,FALSE,"DCFAntony";#N/A,#N/A,FALSE,"DCFCowboy";#N/A,#N/A,FALSE,"DCFCombined"}</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p1." hidden="1">{"All",#N/A,FALSE,"Admin";"G only",#N/A,FALSE,"Admin";"No G",#N/A,FALSE,"Admin"}</definedName>
    <definedName name="wrn.stand_alone." hidden="1">{#N/A,#N/A,FALSE,"CBE";#N/A,#N/A,FALSE,"SWK"}</definedName>
    <definedName name="wrn.Standard." hidden="1">{"Financials",#N/A,FALSE,"Financials";"AVP",#N/A,FALSE,"AVP";"DCF",#N/A,FALSE,"DCF";"CSC",#N/A,FALSE,"CSC";"Deal_Comp",#N/A,FALSE,"DealComp"}</definedName>
    <definedName name="wrn.Summary." hidden="1">{#N/A,#N/A,FALSE,"Summary3";#N/A,#N/A,FALSE,"Summary1";#N/A,#N/A,FALSE,"Summary2";#N/A,#N/A,FALSE,"Sensitivities1";#N/A,#N/A,FALSE,"Sensitivities2"}</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Pgs." hidden="1">{#N/A,#N/A,FALSE,"CreditStat";#N/A,#N/A,FALSE,"SPbrkup";#N/A,#N/A,FALSE,"MerSPsyn";#N/A,#N/A,FALSE,"MerSPwKCsyn";#N/A,#N/A,FALSE,"MerSPwKCsyn (2)";#N/A,#N/A,FALSE,"CreditStat (2)"}</definedName>
    <definedName name="wrn.Tariff._.Analysis." hidden="1">{"Tarifica91",#N/A,FALSE,"Tariffs";"Tarifica92",#N/A,FALSE,"Tariffs";"Tarifica93",#N/A,FALSE,"Tariffs";"Tarifica94",#N/A,FALSE,"Tariffs";"Tarifica95",#N/A,FALSE,"Tariffs";"Tarifica96",#N/A,FALSE,"Tariffs"}</definedName>
    <definedName name="wrn.Tariff._.Comaprison." hidden="1">{"Tariff Comparison",#N/A,FALSE,"Benchmarking";"Tariff Comparison 2",#N/A,FALSE,"Benchmarking";"Tariff Comparison 3",#N/A,FALSE,"Benchmarking"}</definedName>
    <definedName name="wrn.test." hidden="1">{#N/A,#N/A,FALSE,"TabA";#N/A,#N/A,FALSE,"UTopxFx98";#N/A,#N/A,FALSE,"TopxFx98";#N/A,#N/A,FALSE,"TopxNom"}</definedName>
    <definedName name="wrn.Thomas_Case." hidden="1">{#N/A,#N/A,TRUE,"Thomas Case";#N/A,#N/A,TRUE,"Corporate Overhead";#N/A,#N/A,TRUE,"Arizona";#N/A,#N/A,TRUE,"Cal";#N/A,#N/A,TRUE,"Illinois";#N/A,#N/A,TRUE,"Indiana";#N/A,#N/A,TRUE,"Ohio";#N/A,#N/A,TRUE,"Pennsylvania";#N/A,#N/A,TRUE,"Growth";#N/A,#N/A,TRUE,"Anthem";#N/A,#N/A,TRUE,"Pipeline"}</definedName>
    <definedName name="wrn.totalcomp." hidden="1">{"comp1",#N/A,FALSE,"COMPS";"footnotes",#N/A,FALSE,"COMPS"}</definedName>
    <definedName name="wrn.totalcomp.1" hidden="1">{"comp1",#N/A,FALSE,"COMPS";"footnotes",#N/A,FALSE,"COMPS"}</definedName>
    <definedName name="wrn.TOUT_imprimer." hidden="1">{#N/A,#N/A,FALSE,"Synth";#N/A,#N/A,FALSE,"concu";"parc_global",#N/A,FALSE,"parc";#N/A,#N/A,FALSE,"CA prest";#N/A,#N/A,FALSE,"Ratio CA";#N/A,#N/A,FALSE,"Trafic";#N/A,#N/A,FALSE,"CR GSM_acté";#N/A,#N/A,FALSE,"Réseaux";#N/A,#N/A,FALSE,"Abonnés";#N/A,#N/A,FALSE,"Créances";#N/A,#N/A,FALSE,"Effectifs";#N/A,#N/A,FALSE,"SI";#N/A,#N/A,FALSE,"R2000";#N/A,#N/A,FALSE,"BIBOP"}</definedName>
    <definedName name="wrn.trans._.sum." hidden="1">{"trans assumptions",#N/A,FALSE,"Merger";"trans accretion",#N/A,FALSE,"Merger"}</definedName>
    <definedName name="wrn.Tweety." hidden="1">{#N/A,#N/A,FALSE,"A&amp;E";#N/A,#N/A,FALSE,"HighTop";#N/A,#N/A,FALSE,"JG";#N/A,#N/A,FALSE,"RI";#N/A,#N/A,FALSE,"woHT";#N/A,#N/A,FALSE,"woHT&amp;JG"}</definedName>
    <definedName name="wrn.Umsatz." hidden="1">{#N/A,#N/A,FALSE,"Umsatz";#N/A,#N/A,FALSE,"Base V.02";#N/A,#N/A,FALSE,"Charts"}</definedName>
    <definedName name="wrn.up." hidden="1">{"up stand alones",#N/A,FALSE,"Acquiror"}</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TL._.Position." hidden="1">{"UTL effect",#N/A,FALSE,"Sensitivity"}</definedName>
    <definedName name="wrn.valderrama." hidden="1">{"valderrama1",#N/A,FALSE,"Pro Forma";"valderrama",#N/A,FALSE,"Pro Forma"}</definedName>
    <definedName name="wrn.valuation." hidden="1">{#N/A,#N/A,FALSE,"Valuation";#N/A,#N/A,FALSE,"Valuation (5)";#N/A,#N/A,FALSE,"Valuation (2)";#N/A,#N/A,FALSE,"Valuation (3)"}</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Wacc." hidden="1">{"Area1",#N/A,FALSE,"OREWACC";"Area2",#N/A,FALSE,"OREWACC"}</definedName>
    <definedName name="wrn.Water." hidden="1">{#N/A,#N/A,FALSE,"Water";#N/A,#N/A,FALSE,"Ballygowan";#N/A,#N/A,FALSE,"Volvic"}</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 hidden="1">{#N/A,#N/A,FALSE,"W&amp;Spirits";#N/A,#N/A,FALSE,"Grants";#N/A,#N/A,FALSE,"CCB"}</definedName>
    <definedName name="wrn1.1.1" hidden="1">{#N/A,#N/A,FALSE,"Calc";#N/A,#N/A,FALSE,"Sensitivity";#N/A,#N/A,FALSE,"LT Earn.Dil.";#N/A,#N/A,FALSE,"Dil. AVP"}</definedName>
    <definedName name="wrn2.Bplan." hidden="1">{#N/A,#N/A,FALSE,"F_Plan";#N/A,#N/A,FALSE,"Parameter"}</definedName>
    <definedName name="WRN2.Document" hidden="1">{"consolidated",#N/A,FALSE,"Sheet1";"cms",#N/A,FALSE,"Sheet1";"fse",#N/A,FALSE,"Sheet1"}</definedName>
    <definedName name="wt" hidden="1">{"comps2_1",#N/A,FALSE,"Comps2";"comps2_2",#N/A,FALSE,"Comps2";"comps2_3",#N/A,FALSE,"Comps2";"comps2_4",#N/A,FALSE,"Comps2";"comps2_5",#N/A,FALSE,"Comps2"}</definedName>
    <definedName name="ww" hidden="1">{"assumption 50 50",#N/A,TRUE,"Merger";"has gets cash",#N/A,TRUE,"Merger";"accretion dilution",#N/A,TRUE,"Merger";"comparison credit stats",#N/A,TRUE,"Merger";"pf credit stats",#N/A,TRUE,"Merger";"pf sheets",#N/A,TRUE,"Merger"}</definedName>
    <definedName name="www" hidden="1">{#N/A,#N/A,FALSE,"Objectives"}</definedName>
    <definedName name="x"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ccvbcbvcb" hidden="1">{"comps2",#N/A,FALSE,"AERO";"footnotes",#N/A,FALSE,"AERO"}</definedName>
    <definedName name="xsssw" hidden="1">{#N/A,#N/A,FALSE,"Créances";#N/A,#N/A,FALSE,"Effectifs";#N/A,#N/A,FALSE,"SI"}</definedName>
    <definedName name="XVCWXV" hidden="1">#REF!</definedName>
    <definedName name="xxx" hidden="1">{#N/A,#N/A,FALSE,"Créances";#N/A,#N/A,FALSE,"Effectifs";#N/A,#N/A,FALSE,"SI"}</definedName>
    <definedName name="xxxxx" hidden="1">{#N/A,#N/A,FALSE,"Synth";"parc_DC",#N/A,FALSE,"parc";#N/A,#N/A,FALSE,"CA prest";#N/A,#N/A,FALSE,"Ratio CA";#N/A,#N/A,FALSE,"Trafic";"CR_GSM_acté_DC",#N/A,FALSE,"CR GSM_acté";#N/A,#N/A,FALSE,"Abonnés";#N/A,#N/A,FALSE,"Créances";#N/A,#N/A,FALSE,"Effectifs"}</definedName>
    <definedName name="xxxxxx" hidden="1">{"10yp graphs",#N/A,FALSE,"Market Data"}</definedName>
    <definedName name="xxxxxxxxxx" hidden="1">{#N/A,#N/A,FALSE,"Synth";"parc_DC",#N/A,FALSE,"parc";#N/A,#N/A,FALSE,"CA prest";#N/A,#N/A,FALSE,"Ratio CA";#N/A,#N/A,FALSE,"Trafic";"CR_GSM_acté_DC",#N/A,FALSE,"CR GSM_acté";#N/A,#N/A,FALSE,"Abonnés";#N/A,#N/A,FALSE,"Créances";#N/A,#N/A,FALSE,"Effectifs"}</definedName>
    <definedName name="xxxxxxxxxxx" hidden="1">{#N/A,#N/A,FALSE,"Synth";"parc_DC",#N/A,FALSE,"parc";#N/A,#N/A,FALSE,"CA prest";#N/A,#N/A,FALSE,"Ratio CA";#N/A,#N/A,FALSE,"Trafic";"CR_GSM_acté_DC",#N/A,FALSE,"CR GSM_acté";#N/A,#N/A,FALSE,"Abonnés";#N/A,#N/A,FALSE,"Créances";#N/A,#N/A,FALSE,"Effectifs"}</definedName>
    <definedName name="xxxxxxxxxxxxx" hidden="1">{#N/A,#N/A,FALSE,"Créances";#N/A,#N/A,FALSE,"Effectifs";#N/A,#N/A,FALSE,"SI"}</definedName>
    <definedName name="xxxxxxxxxxxxxxxx" hidden="1">{#N/A,#N/A,FALSE,"Synth";#N/A,#N/A,FALSE,"concu";"parc_global",#N/A,FALSE,"parc";#N/A,#N/A,FALSE,"CA prest";#N/A,#N/A,FALSE,"Ratio CA";#N/A,#N/A,FALSE,"Trafic";#N/A,#N/A,FALSE,"CR GSM_acté";#N/A,#N/A,FALSE,"Réseaux";#N/A,#N/A,FALSE,"Abonnés";#N/A,#N/A,FALSE,"Créances";#N/A,#N/A,FALSE,"Effectifs";#N/A,#N/A,FALSE,"SI";#N/A,#N/A,FALSE,"R2000";#N/A,#N/A,FALSE,"BIBOP"}</definedName>
    <definedName name="yfj" hidden="1">{#N/A,#N/A,TRUE,"Cover sheet";#N/A,#N/A,TRUE,"INPUTS";#N/A,#N/A,TRUE,"OUTPUTS";#N/A,#N/A,TRUE,"VALUATION"}</definedName>
    <definedName name="yry" hidden="1">{"consolidated",#N/A,FALSE,"Sheet1";"cms",#N/A,FALSE,"Sheet1";"fse",#N/A,FALSE,"Sheet1"}</definedName>
    <definedName name="YUU" hidden="1">{"assumption 50 50",#N/A,TRUE,"Merger";"has gets cash",#N/A,TRUE,"Merger";"accretion dilution",#N/A,TRUE,"Merger";"comparison credit stats",#N/A,TRUE,"Merger";"pf credit stats",#N/A,TRUE,"Merger";"pf sheets",#N/A,TRUE,"Merger"}</definedName>
    <definedName name="yuuuuuuu" hidden="1">{"ratios",#N/A,FALSE,"Summary Accounts"}</definedName>
    <definedName name="yy" hidden="1">{"consolidated",#N/A,FALSE,"Sheet1";"cms",#N/A,FALSE,"Sheet1";"fse",#N/A,FALSE,"Sheet1"}</definedName>
    <definedName name="yyyyyy" hidden="1">{"p_l",#N/A,FALSE,"Summary Accounts"}</definedName>
    <definedName name="z" hidden="1">{"MARCH",#N/A,FALSE,"CONSO OPEX 5899";"FullOpex",#N/A,FALSE,"CONSO OPEX 5899"}</definedName>
    <definedName name="Z_2891AF67_639B_11D2_AA4E_AB73DC59AB4D_.wvu.PrintArea" hidden="1">#REF!</definedName>
    <definedName name="Z_2891AF68_639B_11D2_AA4E_AB73DC59AB4D_.wvu.PrintArea" hidden="1">#REF!</definedName>
    <definedName name="zaq" hidden="1">{#N/A,#N/A,FALSE,"Calc";#N/A,#N/A,FALSE,"Sensitivity";#N/A,#N/A,FALSE,"LT Earn.Dil.";#N/A,#N/A,FALSE,"Dil. AVP"}</definedName>
    <definedName name="zedaqzd" hidden="1">{#N/A,#N/A,FALSE,"Operations";#N/A,#N/A,FALSE,"Financials"}</definedName>
    <definedName name="zefz" hidden="1">{"First Page",#N/A,FALSE,"Surfactants LBO";"Second Page",#N/A,FALSE,"Surfactants LBO"}</definedName>
    <definedName name="zer" hidden="1">{#N/A,#N/A,FALSE,"Calc";#N/A,#N/A,FALSE,"Sensitivity";#N/A,#N/A,FALSE,"LT Earn.Dil.";#N/A,#N/A,FALSE,"Dil. AVP"}</definedName>
    <definedName name="ZERTRET" hidden="1">#REF!</definedName>
    <definedName name="zezrzrzerz" hidden="1">{"equity comps",#N/A,FALSE,"CS Comps";"equity comps",#N/A,FALSE,"PS Comps";"equity comps",#N/A,FALSE,"GIC_Comps";"equity comps",#N/A,FALSE,"GIC2_Comps"}</definedName>
    <definedName name="zz" hidden="1">{"MARCH",#N/A,FALSE,"CONSO OPEX 5899";"FullOpex",#N/A,FALSE,"CONSO OPEX 5899"}</definedName>
    <definedName name="ZZZ"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ZZZA" hidden="1">{"equity comps",#N/A,FALSE,"CS Comps";"equity comps",#N/A,FALSE,"PS Comps";"equity comps",#N/A,FALSE,"GIC_Comps";"equity comps",#N/A,FALSE,"GIC2_Comps";"debt comps",#N/A,FALSE,"CS Comps";"debt comps",#N/A,FALSE,"PS Comps";"debt comps",#N/A,FALSE,"GIC_Comps";"debt comps",#N/A,FALSE,"GIC2_Comps"}</definedName>
    <definedName name="ZZZZZZ"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ZZZZZZZ"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 i="58" l="1"/>
  <c r="D29" i="58"/>
  <c r="D28" i="58"/>
  <c r="D27" i="58"/>
  <c r="D24" i="58"/>
  <c r="D23" i="58"/>
  <c r="D22" i="58"/>
  <c r="J15" i="58"/>
  <c r="F15" i="58"/>
  <c r="J22" i="58" l="1"/>
  <c r="J21" i="58"/>
  <c r="D21" i="58"/>
  <c r="J17" i="58" l="1"/>
  <c r="J20" i="58" s="1"/>
  <c r="J25" i="58"/>
  <c r="J28" i="58" s="1"/>
  <c r="G5" i="58"/>
  <c r="J23" i="58" l="1"/>
  <c r="J24" i="58" s="1"/>
  <c r="J27" i="58" l="1"/>
  <c r="J29" i="58"/>
  <c r="J30" i="58" s="1"/>
</calcChain>
</file>

<file path=xl/sharedStrings.xml><?xml version="1.0" encoding="utf-8"?>
<sst xmlns="http://schemas.openxmlformats.org/spreadsheetml/2006/main" count="53" uniqueCount="52">
  <si>
    <t xml:space="preserve">Email : </t>
  </si>
  <si>
    <t>BUSINESS</t>
  </si>
  <si>
    <t>EURO</t>
  </si>
  <si>
    <r>
      <rPr>
        <b/>
        <sz val="10"/>
        <rFont val="Arial"/>
        <family val="2"/>
      </rPr>
      <t>Pack vSphere384 SNC intégrant</t>
    </r>
    <r>
      <rPr>
        <sz val="10"/>
        <rFont val="Arial"/>
        <family val="2"/>
      </rPr>
      <t xml:space="preserve">
2 × vSphere384  ayant : 
  2x Intel(r) Xeon(r) Gold 6226R - 2.9 GHz 
  32 cores/64 threads
  384 Go RAM
4000 vLAN
2 × datastores 3 To Full-SSD
Hyperviseur VMware vSphere 7.0
VMware vROps</t>
    </r>
  </si>
  <si>
    <t>€</t>
  </si>
  <si>
    <t>currency</t>
  </si>
  <si>
    <t>vat</t>
  </si>
  <si>
    <t>vat %</t>
  </si>
  <si>
    <t>support</t>
  </si>
  <si>
    <t>support %</t>
  </si>
  <si>
    <t>support min</t>
  </si>
  <si>
    <t>period</t>
  </si>
  <si>
    <t>discount</t>
  </si>
  <si>
    <t>q</t>
  </si>
  <si>
    <t>PREVENTIVO</t>
  </si>
  <si>
    <t xml:space="preserve">Cliente : </t>
  </si>
  <si>
    <t>Cliente</t>
  </si>
  <si>
    <t xml:space="preserve">All'attenzione di : </t>
  </si>
  <si>
    <t>Contatto :</t>
  </si>
  <si>
    <t xml:space="preserve">Telefono : </t>
  </si>
  <si>
    <t xml:space="preserve">Ruolo : </t>
  </si>
  <si>
    <t>Data</t>
  </si>
  <si>
    <t>IVA</t>
  </si>
  <si>
    <t>Spese d'installazione</t>
  </si>
  <si>
    <t>Quantità</t>
  </si>
  <si>
    <t>Durata dell'impegno (Mesi)</t>
  </si>
  <si>
    <t>Sconto per l'impegno</t>
  </si>
  <si>
    <t>Trusted Zone - Francia - RBX</t>
  </si>
  <si>
    <t>Sede Legale: Via Carlo Imbonati, 18 20159 Milano - Italia
Codice Fiscale e Partita IVA 06157670966 Registro Imprese di Milano n° 06157670966 REA n° 1873458</t>
  </si>
  <si>
    <t>Riferimento Preventivo</t>
  </si>
  <si>
    <t>Emesso da</t>
  </si>
  <si>
    <t>Descrizione del servizio</t>
  </si>
  <si>
    <t>Importo mensile</t>
  </si>
  <si>
    <t>Spese d'installazione escluso IVA</t>
  </si>
  <si>
    <t>Note OVHcloud :</t>
  </si>
  <si>
    <t>Condizioni di fatturazione :</t>
  </si>
  <si>
    <t>Termini di pagamento :</t>
  </si>
  <si>
    <t>Periodo di validità del preventivo :</t>
  </si>
  <si>
    <t>Si prega di fare riferimento alle condizioni particolari del prodotto o servizio.</t>
  </si>
  <si>
    <t>Pagamento alla ricezione della fattura.</t>
  </si>
  <si>
    <t xml:space="preserve">30 giorni, con riserva sulla disponibilità dei servizi. </t>
  </si>
  <si>
    <t>CLIENTE</t>
  </si>
  <si>
    <t>Nome e COGNOME :</t>
  </si>
  <si>
    <t xml:space="preserve">Titolo : </t>
  </si>
  <si>
    <t>Lì ……………...........…………………......................………….......…., il</t>
  </si>
  <si>
    <t>Firma* e timbro</t>
  </si>
  <si>
    <t>*Preceduta dalla menzione "Accetto".</t>
  </si>
  <si>
    <t>Termini &amp; Condizioni</t>
  </si>
  <si>
    <t>La nostra offerta è valida 30 giorni, con riserva sulla dispobilità dei prodotti/servizi.</t>
  </si>
  <si>
    <t>I servizi sono disciplinati esclusivamente dalle seguenti condizioni contrattuali OVHcloud, accessibili qui :</t>
  </si>
  <si>
    <t>L'accettazione del presente preventivo da parte del Cliente equivale all'accettazione delle condizioni contrattuali elencate sopra.</t>
  </si>
  <si>
    <t>Il Cliente, a partire dal momento in cui le soluzioni saranno rese disponibili da OVHcloud, utilizzerà tutti i servizi indicati nel Preventivo durante i COMMIT-mesi dell'impegno (il “Periodo dell'impegno”). Se, prima della fine del Periodo contrattuale, il Cliente cessa di utilizzare in tutto o in parte i Servizi, il Cliente pagherà a OVHcloud il prezzo integrale dei Servizi per l'intero Periodo contrattuale. Il saldo deve essere pagato immediatamente. In considerazione dell’impegno del Cliente, lo sconto previsto in questa offerta si applicherà ai prezzi pubblici per la durata del Periodo di impegno. Per "tariffe pubbliche" si intendono le tariffe pubblicate sul sito Internet di OVHcloud al momento dell’Ordine dei Servizi. Le tariffe scontate non sono cumulabili con altri sconti, ribassi o offerte disponibili sul sito Internet di OVHcloud. I prezzi dei Servizi soggetti al Periodo di impegno (sconti inclusi) sono stabili per l'intero Periodo di impegno. Tuttavia, i prezzi dei Servizi possono essere modificati durante il Periodo di impegno in caso di aumento del costo dell’elettricità e/o del prezzo dei Prodotti di Terzi. Se il Cliente continua a utilizzare i Servizi dopo la fine del Periodo contrattuale o se ordina servizi aggiuntivi, si applicano le tariffe pubbliche in vigore pubblicate sul sito Internet di OVHcloud.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</si>
</sst>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 #,##0.00_)\ &quot;€&quot;_ ;_ * \(#,##0.00\)\ &quot;€&quot;_ ;_ * &quot;-&quot;??_)\ &quot;€&quot;_ ;_ @_ "/>
    <numFmt numFmtId="165" formatCode="#,##0.00\ &quot;€&quot;;[Red]\-#,##0.00\ &quot;€&quot;"/>
    <numFmt numFmtId="166" formatCode="_-* #,##0.00\ &quot;€&quot;_-;\-* #,##0.00\ &quot;€&quot;_-;_-* &quot;-&quot;??\ &quot;€&quot;_-;_-@_-"/>
    <numFmt numFmtId="167" formatCode="_-* #,##0.00\ _€_-;\-* #,##0.00\ _€_-;_-* &quot;-&quot;??\ _€_-;_-@_-"/>
  </numFmts>
  <fonts count="42">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b/>
      <sz val="11"/>
      <name val="Arial"/>
      <family val="2"/>
    </font>
    <font>
      <b/>
      <sz val="10"/>
      <color theme="0"/>
      <name val="Arial"/>
      <family val="2"/>
    </font>
    <font>
      <b/>
      <sz val="8"/>
      <color indexed="8"/>
      <name val="Verdana"/>
      <family val="2"/>
    </font>
    <font>
      <b/>
      <sz val="16"/>
      <color rgb="FF240058"/>
      <name val="Arial"/>
      <family val="2"/>
    </font>
    <font>
      <b/>
      <sz val="11"/>
      <color theme="0"/>
      <name val="Arial"/>
      <family val="2"/>
    </font>
    <font>
      <sz val="11"/>
      <name val="Arial"/>
      <family val="2"/>
    </font>
    <font>
      <b/>
      <sz val="11"/>
      <color indexed="9"/>
      <name val="Arial"/>
      <family val="2"/>
    </font>
    <font>
      <sz val="11"/>
      <color indexed="8"/>
      <name val="Arial"/>
      <family val="2"/>
    </font>
    <font>
      <u/>
      <sz val="10"/>
      <color theme="10"/>
      <name val="Arial"/>
      <family val="2"/>
    </font>
    <font>
      <sz val="11"/>
      <color rgb="FF010F96"/>
      <name val="Arial"/>
      <family val="2"/>
    </font>
    <font>
      <sz val="10"/>
      <color rgb="FF005EB8"/>
      <name val="Arial"/>
      <family val="2"/>
    </font>
    <font>
      <b/>
      <sz val="14"/>
      <color rgb="FF010F96"/>
      <name val="Arial"/>
      <family val="2"/>
    </font>
    <font>
      <b/>
      <i/>
      <sz val="11"/>
      <color rgb="FF010F96"/>
      <name val="Arial"/>
      <family val="2"/>
    </font>
    <font>
      <b/>
      <sz val="16"/>
      <color theme="0"/>
      <name val="Helvetica 55 Roman"/>
      <family val="2"/>
    </font>
    <font>
      <sz val="10"/>
      <name val="Helvetica 55 Roman"/>
    </font>
    <font>
      <b/>
      <i/>
      <sz val="12"/>
      <color rgb="FF010F96"/>
      <name val="Arial"/>
      <family val="2"/>
    </font>
    <font>
      <sz val="10"/>
      <color theme="0"/>
      <name val="Arial"/>
      <family val="2"/>
    </font>
    <font>
      <sz val="8"/>
      <name val="Arial"/>
      <family val="2"/>
    </font>
    <font>
      <sz val="10"/>
      <name val="Arial"/>
      <family val="2"/>
    </font>
    <font>
      <b/>
      <i/>
      <sz val="11"/>
      <color rgb="FF9B9B9B"/>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0"/>
        <bgColor indexed="64"/>
      </patternFill>
    </fill>
    <fill>
      <patternFill patternType="solid">
        <fgColor indexed="50"/>
        <bgColor indexed="64"/>
      </patternFill>
    </fill>
    <fill>
      <patternFill patternType="solid">
        <fgColor indexed="9"/>
        <bgColor indexed="64"/>
      </patternFill>
    </fill>
    <fill>
      <patternFill patternType="solid">
        <fgColor rgb="FF010F96"/>
        <bgColor indexed="64"/>
      </patternFill>
    </fill>
    <fill>
      <patternFill patternType="solid">
        <fgColor theme="1"/>
        <bgColor indexed="64"/>
      </patternFill>
    </fill>
    <fill>
      <patternFill patternType="solid">
        <fgColor rgb="FFFFFFFF"/>
        <bgColor rgb="FF000000"/>
      </patternFill>
    </fill>
  </fills>
  <borders count="33">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theme="1"/>
      </left>
      <right/>
      <top style="thin">
        <color theme="1"/>
      </top>
      <bottom/>
      <diagonal/>
    </border>
    <border>
      <left/>
      <right/>
      <top style="thin">
        <color theme="1"/>
      </top>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bottom/>
      <diagonal/>
    </border>
    <border>
      <left/>
      <right style="thin">
        <color theme="1"/>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top style="thin">
        <color indexed="64"/>
      </top>
      <bottom style="thin">
        <color theme="1"/>
      </bottom>
      <diagonal/>
    </border>
    <border>
      <left/>
      <right style="thin">
        <color theme="1"/>
      </right>
      <top style="thin">
        <color indexed="64"/>
      </top>
      <bottom style="thin">
        <color theme="1"/>
      </bottom>
      <diagonal/>
    </border>
  </borders>
  <cellStyleXfs count="62">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0" borderId="0" applyNumberFormat="0" applyFill="0" applyBorder="0" applyAlignment="0" applyProtection="0"/>
    <xf numFmtId="0" fontId="8" fillId="20" borderId="1" applyNumberFormat="0" applyAlignment="0" applyProtection="0"/>
    <xf numFmtId="0" fontId="9" fillId="0" borderId="2" applyNumberFormat="0" applyFill="0" applyAlignment="0" applyProtection="0"/>
    <xf numFmtId="0" fontId="3" fillId="21" borderId="3" applyNumberFormat="0" applyFont="0" applyAlignment="0" applyProtection="0"/>
    <xf numFmtId="0" fontId="10" fillId="7" borderId="1" applyNumberFormat="0" applyAlignment="0" applyProtection="0"/>
    <xf numFmtId="166" fontId="3" fillId="0" borderId="0" applyFont="0" applyFill="0" applyBorder="0" applyAlignment="0" applyProtection="0"/>
    <xf numFmtId="0" fontId="11" fillId="3" borderId="0" applyNumberFormat="0" applyBorder="0" applyAlignment="0" applyProtection="0"/>
    <xf numFmtId="0" fontId="12" fillId="22" borderId="0" applyNumberFormat="0" applyBorder="0" applyAlignment="0" applyProtection="0"/>
    <xf numFmtId="0" fontId="13" fillId="4" borderId="0" applyNumberFormat="0" applyBorder="0" applyAlignment="0" applyProtection="0"/>
    <xf numFmtId="0" fontId="14" fillId="20" borderId="4"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0" borderId="8" applyNumberFormat="0" applyFill="0" applyAlignment="0" applyProtection="0"/>
    <xf numFmtId="0" fontId="21" fillId="23" borderId="9" applyNumberFormat="0" applyAlignment="0" applyProtection="0"/>
    <xf numFmtId="0" fontId="2" fillId="0" borderId="0"/>
    <xf numFmtId="166" fontId="3" fillId="0" borderId="0" applyFont="0" applyFill="0" applyBorder="0" applyAlignment="0" applyProtection="0"/>
    <xf numFmtId="0" fontId="3" fillId="0" borderId="0"/>
    <xf numFmtId="166" fontId="3" fillId="0" borderId="0" applyFont="0" applyFill="0" applyBorder="0" applyAlignment="0" applyProtection="0"/>
    <xf numFmtId="0" fontId="3" fillId="0" borderId="0"/>
    <xf numFmtId="0" fontId="3" fillId="0" borderId="0"/>
    <xf numFmtId="0" fontId="24" fillId="25" borderId="22" applyBorder="0">
      <alignment vertical="center"/>
    </xf>
    <xf numFmtId="166"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30"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64" fontId="40" fillId="0" borderId="0" applyFont="0" applyFill="0" applyBorder="0" applyAlignment="0" applyProtection="0"/>
  </cellStyleXfs>
  <cellXfs count="143">
    <xf numFmtId="0" fontId="0" fillId="0" borderId="0" xfId="0"/>
    <xf numFmtId="0" fontId="3" fillId="24" borderId="0" xfId="56" applyFont="1" applyFill="1"/>
    <xf numFmtId="0" fontId="4" fillId="24" borderId="0" xfId="56" applyFont="1" applyFill="1"/>
    <xf numFmtId="0" fontId="4" fillId="24" borderId="0" xfId="56" applyFont="1" applyFill="1" applyAlignment="1">
      <alignment horizontal="right" vertical="top" wrapText="1"/>
    </xf>
    <xf numFmtId="165" fontId="4" fillId="24" borderId="0" xfId="56" applyNumberFormat="1" applyFont="1" applyFill="1" applyAlignment="1">
      <alignment horizontal="right" vertical="top" wrapText="1"/>
    </xf>
    <xf numFmtId="0" fontId="3" fillId="24" borderId="13" xfId="56" applyFont="1" applyFill="1" applyBorder="1"/>
    <xf numFmtId="0" fontId="27" fillId="24" borderId="0" xfId="56" applyFont="1" applyFill="1"/>
    <xf numFmtId="0" fontId="27" fillId="24" borderId="14" xfId="56" applyFont="1" applyFill="1" applyBorder="1"/>
    <xf numFmtId="0" fontId="27" fillId="24" borderId="16" xfId="56" applyFont="1" applyFill="1" applyBorder="1"/>
    <xf numFmtId="0" fontId="27" fillId="24" borderId="17" xfId="56" applyFont="1" applyFill="1" applyBorder="1"/>
    <xf numFmtId="0" fontId="27" fillId="24" borderId="13" xfId="56" applyFont="1" applyFill="1" applyBorder="1"/>
    <xf numFmtId="0" fontId="27" fillId="24" borderId="15" xfId="56" applyFont="1" applyFill="1" applyBorder="1"/>
    <xf numFmtId="0" fontId="27" fillId="24" borderId="13" xfId="56" applyFont="1" applyFill="1" applyBorder="1" applyAlignment="1">
      <alignment vertical="top"/>
    </xf>
    <xf numFmtId="0" fontId="29" fillId="24" borderId="14" xfId="56" applyFont="1" applyFill="1" applyBorder="1" applyAlignment="1">
      <alignment horizontal="left" vertical="top" wrapText="1"/>
    </xf>
    <xf numFmtId="0" fontId="30" fillId="24" borderId="17" xfId="57" applyFill="1" applyBorder="1" applyAlignment="1">
      <alignment horizontal="left" vertical="top" wrapText="1"/>
    </xf>
    <xf numFmtId="0" fontId="27" fillId="24" borderId="0" xfId="56" applyFont="1" applyFill="1" applyAlignment="1">
      <alignment vertical="top"/>
    </xf>
    <xf numFmtId="0" fontId="26" fillId="27" borderId="21" xfId="56" applyFont="1" applyFill="1" applyBorder="1" applyAlignment="1">
      <alignment horizontal="center" vertical="center" wrapText="1"/>
    </xf>
    <xf numFmtId="0" fontId="27" fillId="24" borderId="0" xfId="56" applyFont="1" applyFill="1" applyAlignment="1">
      <alignment vertical="center"/>
    </xf>
    <xf numFmtId="166" fontId="34" fillId="24" borderId="14" xfId="56" applyNumberFormat="1" applyFont="1" applyFill="1" applyBorder="1" applyAlignment="1">
      <alignment horizontal="right" vertical="top" wrapText="1"/>
    </xf>
    <xf numFmtId="0" fontId="3" fillId="27" borderId="11" xfId="56" applyFont="1" applyFill="1" applyBorder="1"/>
    <xf numFmtId="0" fontId="3" fillId="27" borderId="12" xfId="56" applyFont="1" applyFill="1" applyBorder="1"/>
    <xf numFmtId="0" fontId="3" fillId="27" borderId="16" xfId="56" applyFont="1" applyFill="1" applyBorder="1"/>
    <xf numFmtId="0" fontId="3" fillId="27" borderId="17" xfId="56" applyFont="1" applyFill="1" applyBorder="1"/>
    <xf numFmtId="0" fontId="3" fillId="24" borderId="0" xfId="56" applyFont="1" applyFill="1" applyAlignment="1">
      <alignment horizontal="left" vertical="top" wrapText="1"/>
    </xf>
    <xf numFmtId="0" fontId="26" fillId="27" borderId="18" xfId="56" applyFont="1" applyFill="1" applyBorder="1" applyAlignment="1">
      <alignment horizontal="left" vertical="center"/>
    </xf>
    <xf numFmtId="0" fontId="26" fillId="27" borderId="20" xfId="56" applyFont="1" applyFill="1" applyBorder="1" applyAlignment="1">
      <alignment horizontal="left" vertical="center"/>
    </xf>
    <xf numFmtId="0" fontId="26" fillId="27" borderId="19" xfId="56" applyFont="1" applyFill="1" applyBorder="1" applyAlignment="1">
      <alignment horizontal="left" vertical="center"/>
    </xf>
    <xf numFmtId="166" fontId="3" fillId="24" borderId="20" xfId="56" applyNumberFormat="1" applyFont="1" applyFill="1" applyBorder="1" applyAlignment="1">
      <alignment horizontal="center" wrapText="1"/>
    </xf>
    <xf numFmtId="1" fontId="4" fillId="24" borderId="20" xfId="56" applyNumberFormat="1" applyFont="1" applyFill="1" applyBorder="1" applyAlignment="1">
      <alignment horizontal="center" wrapText="1"/>
    </xf>
    <xf numFmtId="0" fontId="29" fillId="24" borderId="0" xfId="56" applyFont="1" applyFill="1" applyAlignment="1">
      <alignment horizontal="left" vertical="top" wrapText="1"/>
    </xf>
    <xf numFmtId="0" fontId="27" fillId="24" borderId="13" xfId="56" applyFont="1" applyFill="1" applyBorder="1" applyAlignment="1">
      <alignment horizontal="left" vertical="top" wrapText="1"/>
    </xf>
    <xf numFmtId="0" fontId="27" fillId="24" borderId="14" xfId="56" applyFont="1" applyFill="1" applyBorder="1" applyAlignment="1">
      <alignment horizontal="left" vertical="top" wrapText="1"/>
    </xf>
    <xf numFmtId="0" fontId="27" fillId="24" borderId="0" xfId="56" applyFont="1" applyFill="1" applyAlignment="1">
      <alignment horizontal="left" vertical="top" wrapText="1"/>
    </xf>
    <xf numFmtId="0" fontId="27" fillId="24" borderId="15" xfId="56" applyFont="1" applyFill="1" applyBorder="1" applyAlignment="1">
      <alignment horizontal="left" vertical="top" wrapText="1"/>
    </xf>
    <xf numFmtId="0" fontId="32" fillId="0" borderId="14" xfId="47" applyFont="1" applyBorder="1"/>
    <xf numFmtId="0" fontId="36" fillId="24" borderId="0" xfId="47" applyFont="1" applyFill="1" applyAlignment="1">
      <alignment horizontal="left" vertical="center"/>
    </xf>
    <xf numFmtId="0" fontId="36" fillId="24" borderId="0" xfId="47" applyFont="1" applyFill="1" applyAlignment="1">
      <alignment vertical="center" wrapText="1"/>
    </xf>
    <xf numFmtId="0" fontId="4" fillId="24" borderId="13" xfId="56" applyFont="1" applyFill="1" applyBorder="1"/>
    <xf numFmtId="166" fontId="22" fillId="24" borderId="14" xfId="56" quotePrefix="1" applyNumberFormat="1" applyFont="1" applyFill="1" applyBorder="1" applyAlignment="1">
      <alignment horizontal="right" vertical="top" wrapText="1"/>
    </xf>
    <xf numFmtId="0" fontId="3" fillId="24" borderId="15" xfId="56" applyFont="1" applyFill="1" applyBorder="1"/>
    <xf numFmtId="166" fontId="3" fillId="26" borderId="17" xfId="30" applyFill="1" applyBorder="1" applyAlignment="1">
      <alignment vertical="center"/>
    </xf>
    <xf numFmtId="4" fontId="3" fillId="0" borderId="16" xfId="47" applyNumberFormat="1" applyBorder="1"/>
    <xf numFmtId="0" fontId="26" fillId="27" borderId="18" xfId="56" applyFont="1" applyFill="1" applyBorder="1" applyAlignment="1">
      <alignment horizontal="center" vertical="center" wrapText="1"/>
    </xf>
    <xf numFmtId="0" fontId="22" fillId="0" borderId="15" xfId="47" applyFont="1" applyBorder="1" applyAlignment="1">
      <alignment wrapText="1"/>
    </xf>
    <xf numFmtId="0" fontId="3" fillId="0" borderId="16" xfId="47" applyBorder="1" applyAlignment="1">
      <alignment horizontal="left"/>
    </xf>
    <xf numFmtId="0" fontId="4" fillId="24" borderId="16" xfId="56" applyFont="1" applyFill="1" applyBorder="1" applyAlignment="1">
      <alignment horizontal="left" vertical="top" wrapText="1"/>
    </xf>
    <xf numFmtId="0" fontId="4" fillId="24" borderId="16" xfId="56" applyFont="1" applyFill="1" applyBorder="1" applyAlignment="1">
      <alignment horizontal="center" vertical="center" wrapText="1"/>
    </xf>
    <xf numFmtId="166" fontId="3" fillId="24" borderId="16" xfId="56" applyNumberFormat="1" applyFont="1" applyFill="1" applyBorder="1" applyAlignment="1">
      <alignment horizontal="center" vertical="center" wrapText="1"/>
    </xf>
    <xf numFmtId="1" fontId="3" fillId="24" borderId="16" xfId="56" applyNumberFormat="1" applyFont="1" applyFill="1" applyBorder="1" applyAlignment="1">
      <alignment horizontal="center" vertical="center" wrapText="1"/>
    </xf>
    <xf numFmtId="166" fontId="27" fillId="24" borderId="14" xfId="56" quotePrefix="1" applyNumberFormat="1" applyFont="1" applyFill="1" applyBorder="1" applyAlignment="1">
      <alignment horizontal="right" vertical="top" wrapText="1"/>
    </xf>
    <xf numFmtId="166" fontId="27" fillId="24" borderId="17" xfId="56" applyNumberFormat="1" applyFont="1" applyFill="1" applyBorder="1" applyAlignment="1">
      <alignment horizontal="right" vertical="top" wrapText="1"/>
    </xf>
    <xf numFmtId="166" fontId="37" fillId="24" borderId="14" xfId="56" applyNumberFormat="1" applyFont="1" applyFill="1" applyBorder="1" applyAlignment="1">
      <alignment horizontal="right" vertical="top" wrapText="1"/>
    </xf>
    <xf numFmtId="166" fontId="27" fillId="24" borderId="12" xfId="56" quotePrefix="1" applyNumberFormat="1" applyFont="1" applyFill="1" applyBorder="1" applyAlignment="1">
      <alignment horizontal="right" vertical="top" wrapText="1"/>
    </xf>
    <xf numFmtId="0" fontId="27" fillId="24" borderId="13" xfId="56" applyFont="1" applyFill="1" applyBorder="1" applyAlignment="1">
      <alignment vertical="top" wrapText="1"/>
    </xf>
    <xf numFmtId="0" fontId="27" fillId="24" borderId="14" xfId="56" applyFont="1" applyFill="1" applyBorder="1" applyAlignment="1">
      <alignment vertical="top" wrapText="1"/>
    </xf>
    <xf numFmtId="9" fontId="3" fillId="24" borderId="20" xfId="56" applyNumberFormat="1" applyFont="1" applyFill="1" applyBorder="1"/>
    <xf numFmtId="166" fontId="3" fillId="24" borderId="19" xfId="56" applyNumberFormat="1" applyFont="1" applyFill="1" applyBorder="1" applyAlignment="1">
      <alignment horizontal="center" wrapText="1"/>
    </xf>
    <xf numFmtId="0" fontId="3" fillId="27" borderId="10" xfId="56" applyFont="1" applyFill="1" applyBorder="1"/>
    <xf numFmtId="0" fontId="3" fillId="27" borderId="15" xfId="56" applyFont="1" applyFill="1" applyBorder="1"/>
    <xf numFmtId="0" fontId="3" fillId="24" borderId="0" xfId="47" applyFill="1" applyAlignment="1">
      <alignment vertical="center"/>
    </xf>
    <xf numFmtId="0" fontId="3" fillId="24" borderId="0" xfId="47" applyFill="1" applyAlignment="1">
      <alignment horizontal="left" vertical="center"/>
    </xf>
    <xf numFmtId="0" fontId="4" fillId="0" borderId="0" xfId="57" applyFont="1"/>
    <xf numFmtId="0" fontId="4" fillId="0" borderId="0" xfId="0" applyFont="1"/>
    <xf numFmtId="0" fontId="30" fillId="0" borderId="0" xfId="57"/>
    <xf numFmtId="0" fontId="3" fillId="29" borderId="0" xfId="0" applyFont="1" applyFill="1" applyAlignment="1">
      <alignment vertical="center" wrapText="1"/>
    </xf>
    <xf numFmtId="0" fontId="27" fillId="24" borderId="20" xfId="56" applyFont="1" applyFill="1" applyBorder="1"/>
    <xf numFmtId="0" fontId="26" fillId="27" borderId="10" xfId="56" applyFont="1" applyFill="1" applyBorder="1" applyAlignment="1">
      <alignment vertical="top" wrapText="1"/>
    </xf>
    <xf numFmtId="0" fontId="26" fillId="27" borderId="11" xfId="56" applyFont="1" applyFill="1" applyBorder="1" applyAlignment="1">
      <alignment vertical="top" wrapText="1"/>
    </xf>
    <xf numFmtId="0" fontId="26" fillId="27" borderId="10" xfId="56" applyFont="1" applyFill="1" applyBorder="1" applyAlignment="1">
      <alignment horizontal="centerContinuous" vertical="top" wrapText="1"/>
    </xf>
    <xf numFmtId="0" fontId="26" fillId="27" borderId="11" xfId="56" applyFont="1" applyFill="1" applyBorder="1" applyAlignment="1">
      <alignment horizontal="centerContinuous" vertical="top" wrapText="1"/>
    </xf>
    <xf numFmtId="0" fontId="26" fillId="27" borderId="13" xfId="56" applyFont="1" applyFill="1" applyBorder="1" applyAlignment="1">
      <alignment horizontal="centerContinuous" vertical="top" wrapText="1"/>
    </xf>
    <xf numFmtId="0" fontId="26" fillId="27" borderId="12" xfId="56" applyFont="1" applyFill="1" applyBorder="1" applyAlignment="1">
      <alignment vertical="top" wrapText="1"/>
    </xf>
    <xf numFmtId="0" fontId="26" fillId="27" borderId="15" xfId="56" applyFont="1" applyFill="1" applyBorder="1" applyAlignment="1">
      <alignment horizontal="centerContinuous" vertical="top" wrapText="1"/>
    </xf>
    <xf numFmtId="0" fontId="26" fillId="27" borderId="16" xfId="56" applyFont="1" applyFill="1" applyBorder="1" applyAlignment="1">
      <alignment horizontal="centerContinuous" vertical="top" wrapText="1"/>
    </xf>
    <xf numFmtId="164" fontId="3" fillId="24" borderId="20" xfId="61" applyFont="1" applyFill="1" applyBorder="1" applyAlignment="1">
      <alignment horizontal="center" wrapText="1"/>
    </xf>
    <xf numFmtId="0" fontId="26" fillId="24" borderId="13" xfId="56" applyFont="1" applyFill="1" applyBorder="1" applyAlignment="1">
      <alignment horizontal="left" vertical="top" wrapText="1"/>
    </xf>
    <xf numFmtId="0" fontId="26" fillId="24" borderId="0" xfId="56" applyFont="1" applyFill="1" applyAlignment="1">
      <alignment horizontal="left" vertical="top" wrapText="1"/>
    </xf>
    <xf numFmtId="0" fontId="3" fillId="29" borderId="0" xfId="0" applyFont="1" applyFill="1" applyAlignment="1">
      <alignment horizontal="centerContinuous" wrapText="1"/>
    </xf>
    <xf numFmtId="0" fontId="23" fillId="27" borderId="0" xfId="56" applyFont="1" applyFill="1" applyAlignment="1">
      <alignment horizontal="centerContinuous" vertical="top" wrapText="1"/>
    </xf>
    <xf numFmtId="0" fontId="23" fillId="27" borderId="10" xfId="56" applyFont="1" applyFill="1" applyBorder="1" applyAlignment="1">
      <alignment horizontal="left" vertical="top" wrapText="1"/>
    </xf>
    <xf numFmtId="0" fontId="23" fillId="27" borderId="11" xfId="56" applyFont="1" applyFill="1" applyBorder="1" applyAlignment="1">
      <alignment horizontal="right" vertical="top" wrapText="1"/>
    </xf>
    <xf numFmtId="0" fontId="23" fillId="27" borderId="13" xfId="56" applyFont="1" applyFill="1" applyBorder="1" applyAlignment="1">
      <alignment horizontal="left" vertical="top"/>
    </xf>
    <xf numFmtId="0" fontId="3" fillId="24" borderId="14" xfId="56" applyFont="1" applyFill="1" applyBorder="1"/>
    <xf numFmtId="0" fontId="23" fillId="27" borderId="15" xfId="56" applyFont="1" applyFill="1" applyBorder="1" applyAlignment="1">
      <alignment horizontal="left" vertical="top" wrapText="1"/>
    </xf>
    <xf numFmtId="0" fontId="23" fillId="27" borderId="16" xfId="56" applyFont="1" applyFill="1" applyBorder="1" applyAlignment="1">
      <alignment horizontal="centerContinuous" vertical="top" wrapText="1"/>
    </xf>
    <xf numFmtId="0" fontId="35" fillId="28" borderId="0" xfId="0" applyFont="1" applyFill="1" applyAlignment="1">
      <alignment horizontal="left" vertical="center"/>
    </xf>
    <xf numFmtId="0" fontId="35" fillId="28" borderId="0" xfId="47" applyFont="1" applyFill="1" applyAlignment="1">
      <alignment horizontal="left" vertical="center" wrapText="1"/>
    </xf>
    <xf numFmtId="0" fontId="3" fillId="28" borderId="0" xfId="47" applyFill="1"/>
    <xf numFmtId="0" fontId="26" fillId="27" borderId="0" xfId="56" applyFont="1" applyFill="1" applyAlignment="1">
      <alignment horizontal="centerContinuous" vertical="top" wrapText="1"/>
    </xf>
    <xf numFmtId="166" fontId="41" fillId="24" borderId="14" xfId="56" applyNumberFormat="1" applyFont="1" applyFill="1" applyBorder="1" applyAlignment="1">
      <alignment horizontal="right" vertical="top" wrapText="1"/>
    </xf>
    <xf numFmtId="0" fontId="25" fillId="24" borderId="13" xfId="56" applyFont="1" applyFill="1" applyBorder="1" applyAlignment="1">
      <alignment horizontal="centerContinuous" vertical="center"/>
    </xf>
    <xf numFmtId="0" fontId="25" fillId="24" borderId="0" xfId="56" applyFont="1" applyFill="1" applyAlignment="1">
      <alignment horizontal="centerContinuous" vertical="center"/>
    </xf>
    <xf numFmtId="0" fontId="25" fillId="24" borderId="14" xfId="56" applyFont="1" applyFill="1" applyBorder="1" applyAlignment="1">
      <alignment horizontal="centerContinuous" vertical="center"/>
    </xf>
    <xf numFmtId="0" fontId="3" fillId="24" borderId="0" xfId="56" applyFont="1" applyFill="1" applyAlignment="1">
      <alignment horizontal="centerContinuous" vertical="center" wrapText="1"/>
    </xf>
    <xf numFmtId="0" fontId="26" fillId="27" borderId="0" xfId="56" applyFont="1" applyFill="1" applyAlignment="1">
      <alignment horizontal="right" vertical="top" wrapText="1"/>
    </xf>
    <xf numFmtId="0" fontId="31" fillId="24" borderId="11" xfId="56" applyFont="1" applyFill="1" applyBorder="1" applyAlignment="1">
      <alignment horizontal="left" vertical="top" wrapText="1" shrinkToFit="1"/>
    </xf>
    <xf numFmtId="0" fontId="31" fillId="24" borderId="12" xfId="56" applyFont="1" applyFill="1" applyBorder="1" applyAlignment="1">
      <alignment horizontal="left" vertical="top" wrapText="1" shrinkToFit="1"/>
    </xf>
    <xf numFmtId="0" fontId="26" fillId="27" borderId="23" xfId="56" applyFont="1" applyFill="1" applyBorder="1" applyAlignment="1">
      <alignment horizontal="right" vertical="top" wrapText="1"/>
    </xf>
    <xf numFmtId="0" fontId="26" fillId="27" borderId="24" xfId="56" applyFont="1" applyFill="1" applyBorder="1" applyAlignment="1">
      <alignment horizontal="right" vertical="top" wrapText="1"/>
    </xf>
    <xf numFmtId="0" fontId="27" fillId="24" borderId="25" xfId="56" applyFont="1" applyFill="1" applyBorder="1"/>
    <xf numFmtId="0" fontId="27" fillId="24" borderId="26" xfId="56" applyFont="1" applyFill="1" applyBorder="1"/>
    <xf numFmtId="0" fontId="26" fillId="27" borderId="27" xfId="56" applyFont="1" applyFill="1" applyBorder="1" applyAlignment="1">
      <alignment horizontal="right" vertical="top" wrapText="1"/>
    </xf>
    <xf numFmtId="0" fontId="27" fillId="24" borderId="28" xfId="56" applyFont="1" applyFill="1" applyBorder="1"/>
    <xf numFmtId="0" fontId="26" fillId="27" borderId="29" xfId="56" applyFont="1" applyFill="1" applyBorder="1" applyAlignment="1">
      <alignment horizontal="right" vertical="top" wrapText="1"/>
    </xf>
    <xf numFmtId="0" fontId="26" fillId="27" borderId="30" xfId="56" applyFont="1" applyFill="1" applyBorder="1" applyAlignment="1">
      <alignment horizontal="right" vertical="top" wrapText="1"/>
    </xf>
    <xf numFmtId="0" fontId="27" fillId="24" borderId="31" xfId="56" applyFont="1" applyFill="1" applyBorder="1"/>
    <xf numFmtId="0" fontId="27" fillId="24" borderId="32" xfId="56" applyFont="1" applyFill="1" applyBorder="1"/>
    <xf numFmtId="1" fontId="3" fillId="24" borderId="20" xfId="56" applyNumberFormat="1" applyFont="1" applyFill="1" applyBorder="1" applyAlignment="1">
      <alignment horizontal="center" wrapText="1"/>
    </xf>
    <xf numFmtId="0" fontId="4" fillId="24" borderId="21" xfId="0" applyFont="1" applyFill="1" applyBorder="1"/>
    <xf numFmtId="0" fontId="3" fillId="24" borderId="21" xfId="56" applyFont="1" applyFill="1" applyBorder="1"/>
    <xf numFmtId="0" fontId="27" fillId="24" borderId="21" xfId="56" applyFont="1" applyFill="1" applyBorder="1"/>
    <xf numFmtId="2" fontId="27" fillId="24" borderId="21" xfId="56" applyNumberFormat="1" applyFont="1" applyFill="1" applyBorder="1"/>
    <xf numFmtId="4" fontId="27" fillId="24" borderId="21" xfId="56" applyNumberFormat="1" applyFont="1" applyFill="1" applyBorder="1"/>
    <xf numFmtId="0" fontId="3" fillId="29" borderId="0" xfId="0" applyFont="1" applyFill="1" applyAlignment="1">
      <alignment horizontal="center" vertical="top" wrapText="1"/>
    </xf>
    <xf numFmtId="0" fontId="27" fillId="24" borderId="10" xfId="56" applyFont="1" applyFill="1" applyBorder="1" applyAlignment="1">
      <alignment horizontal="left" vertical="top" wrapText="1" shrinkToFit="1"/>
    </xf>
    <xf numFmtId="0" fontId="27" fillId="24" borderId="11" xfId="56" applyFont="1" applyFill="1" applyBorder="1" applyAlignment="1">
      <alignment horizontal="left" vertical="top" wrapText="1" shrinkToFit="1"/>
    </xf>
    <xf numFmtId="0" fontId="27" fillId="24" borderId="15" xfId="56" applyFont="1" applyFill="1" applyBorder="1" applyAlignment="1">
      <alignment horizontal="left" vertical="top" wrapText="1"/>
    </xf>
    <xf numFmtId="0" fontId="27" fillId="24" borderId="16" xfId="56" applyFont="1" applyFill="1" applyBorder="1" applyAlignment="1">
      <alignment horizontal="left" vertical="top" wrapText="1"/>
    </xf>
    <xf numFmtId="0" fontId="27" fillId="24" borderId="17" xfId="56" applyFont="1" applyFill="1" applyBorder="1" applyAlignment="1">
      <alignment horizontal="left" vertical="top" wrapText="1"/>
    </xf>
    <xf numFmtId="0" fontId="33" fillId="24" borderId="15" xfId="47" applyFont="1" applyFill="1" applyBorder="1" applyAlignment="1">
      <alignment horizontal="center" wrapText="1"/>
    </xf>
    <xf numFmtId="0" fontId="33" fillId="24" borderId="16" xfId="47" applyFont="1" applyFill="1" applyBorder="1" applyAlignment="1">
      <alignment horizontal="center" wrapText="1"/>
    </xf>
    <xf numFmtId="0" fontId="33" fillId="24" borderId="20" xfId="47" applyFont="1" applyFill="1" applyBorder="1" applyAlignment="1">
      <alignment horizontal="center" wrapText="1"/>
    </xf>
    <xf numFmtId="0" fontId="33" fillId="24" borderId="19" xfId="47" applyFont="1" applyFill="1" applyBorder="1" applyAlignment="1">
      <alignment horizontal="center" wrapText="1"/>
    </xf>
    <xf numFmtId="0" fontId="26" fillId="27" borderId="15" xfId="56" applyFont="1" applyFill="1" applyBorder="1" applyAlignment="1">
      <alignment horizontal="center" vertical="center" wrapText="1"/>
    </xf>
    <xf numFmtId="0" fontId="26" fillId="27" borderId="16" xfId="56" applyFont="1" applyFill="1" applyBorder="1" applyAlignment="1">
      <alignment horizontal="center" vertical="center" wrapText="1"/>
    </xf>
    <xf numFmtId="0" fontId="26" fillId="27" borderId="17" xfId="56" applyFont="1" applyFill="1" applyBorder="1" applyAlignment="1">
      <alignment horizontal="center" vertical="center" wrapText="1"/>
    </xf>
    <xf numFmtId="0" fontId="3" fillId="0" borderId="18" xfId="47" applyBorder="1" applyAlignment="1">
      <alignment horizontal="left" vertical="center" wrapText="1" indent="2"/>
    </xf>
    <xf numFmtId="0" fontId="3" fillId="0" borderId="20" xfId="47" applyBorder="1" applyAlignment="1">
      <alignment horizontal="left" vertical="center" wrapText="1" indent="2"/>
    </xf>
    <xf numFmtId="0" fontId="29" fillId="24" borderId="13" xfId="56" applyFont="1" applyFill="1" applyBorder="1" applyAlignment="1">
      <alignment horizontal="left" vertical="top" wrapText="1"/>
    </xf>
    <xf numFmtId="0" fontId="29" fillId="24" borderId="0" xfId="56" applyFont="1" applyFill="1" applyAlignment="1">
      <alignment horizontal="left" vertical="top" wrapText="1"/>
    </xf>
    <xf numFmtId="15" fontId="3" fillId="24" borderId="11" xfId="56" applyNumberFormat="1" applyFont="1" applyFill="1" applyBorder="1" applyAlignment="1">
      <alignment horizontal="center" vertical="top" wrapText="1"/>
    </xf>
    <xf numFmtId="15" fontId="3" fillId="24" borderId="12" xfId="56" applyNumberFormat="1" applyFont="1" applyFill="1" applyBorder="1" applyAlignment="1">
      <alignment horizontal="center" vertical="top" wrapText="1"/>
    </xf>
    <xf numFmtId="0" fontId="3" fillId="24" borderId="16" xfId="56" applyFont="1" applyFill="1" applyBorder="1" applyAlignment="1">
      <alignment horizontal="center" vertical="top" wrapText="1"/>
    </xf>
    <xf numFmtId="0" fontId="3" fillId="24" borderId="17" xfId="56" applyFont="1" applyFill="1" applyBorder="1" applyAlignment="1">
      <alignment horizontal="center" vertical="top" wrapText="1"/>
    </xf>
    <xf numFmtId="0" fontId="28" fillId="27" borderId="18" xfId="56" applyFont="1" applyFill="1" applyBorder="1" applyAlignment="1">
      <alignment horizontal="left" vertical="top" wrapText="1"/>
    </xf>
    <xf numFmtId="0" fontId="28" fillId="27" borderId="19" xfId="56" applyFont="1" applyFill="1" applyBorder="1" applyAlignment="1">
      <alignment horizontal="left" vertical="top" wrapText="1"/>
    </xf>
    <xf numFmtId="0" fontId="28" fillId="27" borderId="20" xfId="56" applyFont="1" applyFill="1" applyBorder="1" applyAlignment="1">
      <alignment horizontal="left" vertical="top" wrapText="1"/>
    </xf>
    <xf numFmtId="0" fontId="22" fillId="24" borderId="10" xfId="56" applyFont="1" applyFill="1" applyBorder="1" applyAlignment="1">
      <alignment horizontal="left" vertical="top" wrapText="1"/>
    </xf>
    <xf numFmtId="0" fontId="22" fillId="24" borderId="11" xfId="56" applyFont="1" applyFill="1" applyBorder="1" applyAlignment="1">
      <alignment horizontal="left" vertical="top" wrapText="1"/>
    </xf>
    <xf numFmtId="0" fontId="22" fillId="24" borderId="12" xfId="56" applyFont="1" applyFill="1" applyBorder="1" applyAlignment="1">
      <alignment horizontal="left" vertical="top" wrapText="1"/>
    </xf>
    <xf numFmtId="0" fontId="27" fillId="24" borderId="13" xfId="56" applyFont="1" applyFill="1" applyBorder="1" applyAlignment="1">
      <alignment horizontal="left" vertical="top" wrapText="1"/>
    </xf>
    <xf numFmtId="0" fontId="27" fillId="24" borderId="0" xfId="56" applyFont="1" applyFill="1" applyAlignment="1">
      <alignment horizontal="left" vertical="top" wrapText="1"/>
    </xf>
    <xf numFmtId="0" fontId="38" fillId="24" borderId="0" xfId="56" applyFont="1" applyFill="1" applyAlignment="1">
      <alignment wrapText="1"/>
    </xf>
  </cellXfs>
  <cellStyles count="62">
    <cellStyle name="%" xfId="48" xr:uid="{00000000-0005-0000-0000-00000000000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31" builtinId="27" customBuiltin="1"/>
    <cellStyle name="Calculation" xfId="26" builtinId="22" customBuiltin="1"/>
    <cellStyle name="Centrify gold" xfId="49" xr:uid="{00000000-0005-0000-0000-00001C000000}"/>
    <cellStyle name="Check Cell" xfId="42" builtinId="23" customBuiltin="1"/>
    <cellStyle name="Currency" xfId="61" builtinId="4"/>
    <cellStyle name="Euro" xfId="30" xr:uid="{00000000-0005-0000-0000-00001F000000}"/>
    <cellStyle name="Euro 2" xfId="44" xr:uid="{00000000-0005-0000-0000-000020000000}"/>
    <cellStyle name="Euro 2 2" xfId="50" xr:uid="{00000000-0005-0000-0000-000021000000}"/>
    <cellStyle name="Explanatory Text" xfId="35" builtinId="53" customBuiltin="1"/>
    <cellStyle name="Good" xfId="33" builtinId="26" customBuiltin="1"/>
    <cellStyle name="Heading 1" xfId="37" builtinId="16" customBuiltin="1"/>
    <cellStyle name="Heading 2" xfId="38" builtinId="17" customBuiltin="1"/>
    <cellStyle name="Heading 3" xfId="39" builtinId="18" customBuiltin="1"/>
    <cellStyle name="Heading 4" xfId="40" builtinId="19" customBuiltin="1"/>
    <cellStyle name="Hyperlink" xfId="57" builtinId="8"/>
    <cellStyle name="Input" xfId="29" builtinId="20" customBuiltin="1"/>
    <cellStyle name="Linked Cell" xfId="27" builtinId="24" customBuiltin="1"/>
    <cellStyle name="Milliers 2" xfId="51" xr:uid="{00000000-0005-0000-0000-000023000000}"/>
    <cellStyle name="Milliers 3" xfId="52" xr:uid="{00000000-0005-0000-0000-000024000000}"/>
    <cellStyle name="Milliers 4" xfId="59" xr:uid="{14D347B5-402F-8D41-8897-7199A386B517}"/>
    <cellStyle name="Monétaire 2" xfId="46" xr:uid="{00000000-0005-0000-0000-000025000000}"/>
    <cellStyle name="Neutral" xfId="32" builtinId="28" customBuiltin="1"/>
    <cellStyle name="Normal" xfId="0" builtinId="0"/>
    <cellStyle name="Normal 2" xfId="43" xr:uid="{00000000-0005-0000-0000-000028000000}"/>
    <cellStyle name="Normal 2 2" xfId="47" xr:uid="{00000000-0005-0000-0000-000029000000}"/>
    <cellStyle name="Normal 2 3" xfId="56" xr:uid="{00000000-0005-0000-0000-00002A000000}"/>
    <cellStyle name="Normal 2 3 2" xfId="58" xr:uid="{86FC485C-AE2B-AF43-ADC9-8C2E482CE86C}"/>
    <cellStyle name="Normal 3" xfId="45" xr:uid="{00000000-0005-0000-0000-00002B000000}"/>
    <cellStyle name="Note" xfId="28" builtinId="10" customBuiltin="1"/>
    <cellStyle name="Output" xfId="34" builtinId="21" customBuiltin="1"/>
    <cellStyle name="Pourcentage 2" xfId="53" xr:uid="{00000000-0005-0000-0000-00002C000000}"/>
    <cellStyle name="Pourcentage 2 2" xfId="54" xr:uid="{00000000-0005-0000-0000-00002D000000}"/>
    <cellStyle name="Pourcentage 3" xfId="55" xr:uid="{00000000-0005-0000-0000-00002E000000}"/>
    <cellStyle name="Pourcentage 4" xfId="60" xr:uid="{22625C26-9810-C74D-A5AA-B84EE3F92A6B}"/>
    <cellStyle name="Title" xfId="36" builtinId="15" customBuiltin="1"/>
    <cellStyle name="Total" xfId="41" builtinId="25" customBuiltin="1"/>
    <cellStyle name="Warning Text" xfId="25" builtinId="11" customBuiltin="1"/>
  </cellStyles>
  <dxfs count="0"/>
  <tableStyles count="0" defaultTableStyle="TableStyleMedium9" defaultPivotStyle="PivotStyleLight16"/>
  <colors>
    <mruColors>
      <color rgb="FF010F96"/>
      <color rgb="FF87BF41"/>
      <color rgb="FF240058"/>
      <color rgb="FF9B9B9B"/>
      <color rgb="FFC0EB00"/>
      <color rgb="FF737373"/>
      <color rgb="FFC3004B"/>
      <color rgb="FF262E3C"/>
      <color rgb="FF4898D3"/>
      <color rgb="FFD9D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88900</xdr:colOff>
      <xdr:row>4</xdr:row>
      <xdr:rowOff>2049</xdr:rowOff>
    </xdr:from>
    <xdr:to>
      <xdr:col>0</xdr:col>
      <xdr:colOff>1605243</xdr:colOff>
      <xdr:row>5</xdr:row>
      <xdr:rowOff>559663</xdr:rowOff>
    </xdr:to>
    <xdr:pic>
      <xdr:nvPicPr>
        <xdr:cNvPr id="2" name="Image 1">
          <a:extLst>
            <a:ext uri="{FF2B5EF4-FFF2-40B4-BE49-F238E27FC236}">
              <a16:creationId xmlns:a16="http://schemas.microsoft.com/office/drawing/2014/main" id="{6BC7BAE8-06BF-9C43-B170-1564790218DF}"/>
            </a:ext>
          </a:extLst>
        </xdr:cNvPr>
        <xdr:cNvPicPr>
          <a:picLocks noChangeAspect="1"/>
        </xdr:cNvPicPr>
      </xdr:nvPicPr>
      <xdr:blipFill>
        <a:blip xmlns:r="http://schemas.openxmlformats.org/officeDocument/2006/relationships" r:embed="rId1"/>
        <a:stretch>
          <a:fillRect/>
        </a:stretch>
      </xdr:blipFill>
      <xdr:spPr>
        <a:xfrm>
          <a:off x="88900" y="751349"/>
          <a:ext cx="1516343" cy="7354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EA91A-7A41-D140-882B-521136D94B96}">
  <sheetPr>
    <pageSetUpPr fitToPage="1"/>
  </sheetPr>
  <dimension ref="A1:U100"/>
  <sheetViews>
    <sheetView showGridLines="0" tabSelected="1" zoomScaleNormal="100" zoomScaleSheetLayoutView="85" workbookViewId="0">
      <selection activeCell="M13" sqref="M13"/>
    </sheetView>
  </sheetViews>
  <sheetFormatPr baseColWidth="10" defaultColWidth="11.5" defaultRowHeight="13"/>
  <cols>
    <col min="1" max="1" width="26.83203125" style="1" customWidth="1"/>
    <col min="2" max="2" width="72.33203125" style="1" customWidth="1"/>
    <col min="3" max="3" width="9.83203125" style="1" customWidth="1"/>
    <col min="4" max="4" width="9.1640625" style="1" customWidth="1"/>
    <col min="5" max="6" width="15.1640625" style="1" customWidth="1"/>
    <col min="7" max="7" width="9.83203125" style="1" customWidth="1"/>
    <col min="8" max="8" width="13.5" style="1" customWidth="1"/>
    <col min="9" max="9" width="12.83203125" style="1" bestFit="1" customWidth="1"/>
    <col min="10" max="10" width="17" style="1" customWidth="1"/>
    <col min="11" max="250" width="11.5" style="1"/>
    <col min="251" max="251" width="10.33203125" style="1" customWidth="1"/>
    <col min="252" max="252" width="87.5" style="1" bestFit="1" customWidth="1"/>
    <col min="253" max="253" width="2.33203125" style="1" customWidth="1"/>
    <col min="254" max="254" width="22.33203125" style="1" customWidth="1"/>
    <col min="255" max="255" width="17" style="1" customWidth="1"/>
    <col min="256" max="256" width="11.5" style="1"/>
    <col min="257" max="257" width="16.5" style="1" customWidth="1"/>
    <col min="258" max="258" width="12.1640625" style="1" bestFit="1" customWidth="1"/>
    <col min="259" max="506" width="11.5" style="1"/>
    <col min="507" max="507" width="10.33203125" style="1" customWidth="1"/>
    <col min="508" max="508" width="87.5" style="1" bestFit="1" customWidth="1"/>
    <col min="509" max="509" width="2.33203125" style="1" customWidth="1"/>
    <col min="510" max="510" width="22.33203125" style="1" customWidth="1"/>
    <col min="511" max="511" width="17" style="1" customWidth="1"/>
    <col min="512" max="512" width="11.5" style="1"/>
    <col min="513" max="513" width="16.5" style="1" customWidth="1"/>
    <col min="514" max="514" width="12.1640625" style="1" bestFit="1" customWidth="1"/>
    <col min="515" max="762" width="11.5" style="1"/>
    <col min="763" max="763" width="10.33203125" style="1" customWidth="1"/>
    <col min="764" max="764" width="87.5" style="1" bestFit="1" customWidth="1"/>
    <col min="765" max="765" width="2.33203125" style="1" customWidth="1"/>
    <col min="766" max="766" width="22.33203125" style="1" customWidth="1"/>
    <col min="767" max="767" width="17" style="1" customWidth="1"/>
    <col min="768" max="768" width="11.5" style="1"/>
    <col min="769" max="769" width="16.5" style="1" customWidth="1"/>
    <col min="770" max="770" width="12.1640625" style="1" bestFit="1" customWidth="1"/>
    <col min="771" max="1018" width="11.5" style="1"/>
    <col min="1019" max="1019" width="10.33203125" style="1" customWidth="1"/>
    <col min="1020" max="1020" width="87.5" style="1" bestFit="1" customWidth="1"/>
    <col min="1021" max="1021" width="2.33203125" style="1" customWidth="1"/>
    <col min="1022" max="1022" width="22.33203125" style="1" customWidth="1"/>
    <col min="1023" max="1023" width="17" style="1" customWidth="1"/>
    <col min="1024" max="1024" width="11.5" style="1"/>
    <col min="1025" max="1025" width="16.5" style="1" customWidth="1"/>
    <col min="1026" max="1026" width="12.1640625" style="1" bestFit="1" customWidth="1"/>
    <col min="1027" max="1274" width="11.5" style="1"/>
    <col min="1275" max="1275" width="10.33203125" style="1" customWidth="1"/>
    <col min="1276" max="1276" width="87.5" style="1" bestFit="1" customWidth="1"/>
    <col min="1277" max="1277" width="2.33203125" style="1" customWidth="1"/>
    <col min="1278" max="1278" width="22.33203125" style="1" customWidth="1"/>
    <col min="1279" max="1279" width="17" style="1" customWidth="1"/>
    <col min="1280" max="1280" width="11.5" style="1"/>
    <col min="1281" max="1281" width="16.5" style="1" customWidth="1"/>
    <col min="1282" max="1282" width="12.1640625" style="1" bestFit="1" customWidth="1"/>
    <col min="1283" max="1530" width="11.5" style="1"/>
    <col min="1531" max="1531" width="10.33203125" style="1" customWidth="1"/>
    <col min="1532" max="1532" width="87.5" style="1" bestFit="1" customWidth="1"/>
    <col min="1533" max="1533" width="2.33203125" style="1" customWidth="1"/>
    <col min="1534" max="1534" width="22.33203125" style="1" customWidth="1"/>
    <col min="1535" max="1535" width="17" style="1" customWidth="1"/>
    <col min="1536" max="1536" width="11.5" style="1"/>
    <col min="1537" max="1537" width="16.5" style="1" customWidth="1"/>
    <col min="1538" max="1538" width="12.1640625" style="1" bestFit="1" customWidth="1"/>
    <col min="1539" max="1786" width="11.5" style="1"/>
    <col min="1787" max="1787" width="10.33203125" style="1" customWidth="1"/>
    <col min="1788" max="1788" width="87.5" style="1" bestFit="1" customWidth="1"/>
    <col min="1789" max="1789" width="2.33203125" style="1" customWidth="1"/>
    <col min="1790" max="1790" width="22.33203125" style="1" customWidth="1"/>
    <col min="1791" max="1791" width="17" style="1" customWidth="1"/>
    <col min="1792" max="1792" width="11.5" style="1"/>
    <col min="1793" max="1793" width="16.5" style="1" customWidth="1"/>
    <col min="1794" max="1794" width="12.1640625" style="1" bestFit="1" customWidth="1"/>
    <col min="1795" max="2042" width="11.5" style="1"/>
    <col min="2043" max="2043" width="10.33203125" style="1" customWidth="1"/>
    <col min="2044" max="2044" width="87.5" style="1" bestFit="1" customWidth="1"/>
    <col min="2045" max="2045" width="2.33203125" style="1" customWidth="1"/>
    <col min="2046" max="2046" width="22.33203125" style="1" customWidth="1"/>
    <col min="2047" max="2047" width="17" style="1" customWidth="1"/>
    <col min="2048" max="2048" width="11.5" style="1"/>
    <col min="2049" max="2049" width="16.5" style="1" customWidth="1"/>
    <col min="2050" max="2050" width="12.1640625" style="1" bestFit="1" customWidth="1"/>
    <col min="2051" max="2298" width="11.5" style="1"/>
    <col min="2299" max="2299" width="10.33203125" style="1" customWidth="1"/>
    <col min="2300" max="2300" width="87.5" style="1" bestFit="1" customWidth="1"/>
    <col min="2301" max="2301" width="2.33203125" style="1" customWidth="1"/>
    <col min="2302" max="2302" width="22.33203125" style="1" customWidth="1"/>
    <col min="2303" max="2303" width="17" style="1" customWidth="1"/>
    <col min="2304" max="2304" width="11.5" style="1"/>
    <col min="2305" max="2305" width="16.5" style="1" customWidth="1"/>
    <col min="2306" max="2306" width="12.1640625" style="1" bestFit="1" customWidth="1"/>
    <col min="2307" max="2554" width="11.5" style="1"/>
    <col min="2555" max="2555" width="10.33203125" style="1" customWidth="1"/>
    <col min="2556" max="2556" width="87.5" style="1" bestFit="1" customWidth="1"/>
    <col min="2557" max="2557" width="2.33203125" style="1" customWidth="1"/>
    <col min="2558" max="2558" width="22.33203125" style="1" customWidth="1"/>
    <col min="2559" max="2559" width="17" style="1" customWidth="1"/>
    <col min="2560" max="2560" width="11.5" style="1"/>
    <col min="2561" max="2561" width="16.5" style="1" customWidth="1"/>
    <col min="2562" max="2562" width="12.1640625" style="1" bestFit="1" customWidth="1"/>
    <col min="2563" max="2810" width="11.5" style="1"/>
    <col min="2811" max="2811" width="10.33203125" style="1" customWidth="1"/>
    <col min="2812" max="2812" width="87.5" style="1" bestFit="1" customWidth="1"/>
    <col min="2813" max="2813" width="2.33203125" style="1" customWidth="1"/>
    <col min="2814" max="2814" width="22.33203125" style="1" customWidth="1"/>
    <col min="2815" max="2815" width="17" style="1" customWidth="1"/>
    <col min="2816" max="2816" width="11.5" style="1"/>
    <col min="2817" max="2817" width="16.5" style="1" customWidth="1"/>
    <col min="2818" max="2818" width="12.1640625" style="1" bestFit="1" customWidth="1"/>
    <col min="2819" max="3066" width="11.5" style="1"/>
    <col min="3067" max="3067" width="10.33203125" style="1" customWidth="1"/>
    <col min="3068" max="3068" width="87.5" style="1" bestFit="1" customWidth="1"/>
    <col min="3069" max="3069" width="2.33203125" style="1" customWidth="1"/>
    <col min="3070" max="3070" width="22.33203125" style="1" customWidth="1"/>
    <col min="3071" max="3071" width="17" style="1" customWidth="1"/>
    <col min="3072" max="3072" width="11.5" style="1"/>
    <col min="3073" max="3073" width="16.5" style="1" customWidth="1"/>
    <col min="3074" max="3074" width="12.1640625" style="1" bestFit="1" customWidth="1"/>
    <col min="3075" max="3322" width="11.5" style="1"/>
    <col min="3323" max="3323" width="10.33203125" style="1" customWidth="1"/>
    <col min="3324" max="3324" width="87.5" style="1" bestFit="1" customWidth="1"/>
    <col min="3325" max="3325" width="2.33203125" style="1" customWidth="1"/>
    <col min="3326" max="3326" width="22.33203125" style="1" customWidth="1"/>
    <col min="3327" max="3327" width="17" style="1" customWidth="1"/>
    <col min="3328" max="3328" width="11.5" style="1"/>
    <col min="3329" max="3329" width="16.5" style="1" customWidth="1"/>
    <col min="3330" max="3330" width="12.1640625" style="1" bestFit="1" customWidth="1"/>
    <col min="3331" max="3578" width="11.5" style="1"/>
    <col min="3579" max="3579" width="10.33203125" style="1" customWidth="1"/>
    <col min="3580" max="3580" width="87.5" style="1" bestFit="1" customWidth="1"/>
    <col min="3581" max="3581" width="2.33203125" style="1" customWidth="1"/>
    <col min="3582" max="3582" width="22.33203125" style="1" customWidth="1"/>
    <col min="3583" max="3583" width="17" style="1" customWidth="1"/>
    <col min="3584" max="3584" width="11.5" style="1"/>
    <col min="3585" max="3585" width="16.5" style="1" customWidth="1"/>
    <col min="3586" max="3586" width="12.1640625" style="1" bestFit="1" customWidth="1"/>
    <col min="3587" max="3834" width="11.5" style="1"/>
    <col min="3835" max="3835" width="10.33203125" style="1" customWidth="1"/>
    <col min="3836" max="3836" width="87.5" style="1" bestFit="1" customWidth="1"/>
    <col min="3837" max="3837" width="2.33203125" style="1" customWidth="1"/>
    <col min="3838" max="3838" width="22.33203125" style="1" customWidth="1"/>
    <col min="3839" max="3839" width="17" style="1" customWidth="1"/>
    <col min="3840" max="3840" width="11.5" style="1"/>
    <col min="3841" max="3841" width="16.5" style="1" customWidth="1"/>
    <col min="3842" max="3842" width="12.1640625" style="1" bestFit="1" customWidth="1"/>
    <col min="3843" max="4090" width="11.5" style="1"/>
    <col min="4091" max="4091" width="10.33203125" style="1" customWidth="1"/>
    <col min="4092" max="4092" width="87.5" style="1" bestFit="1" customWidth="1"/>
    <col min="4093" max="4093" width="2.33203125" style="1" customWidth="1"/>
    <col min="4094" max="4094" width="22.33203125" style="1" customWidth="1"/>
    <col min="4095" max="4095" width="17" style="1" customWidth="1"/>
    <col min="4096" max="4096" width="11.5" style="1"/>
    <col min="4097" max="4097" width="16.5" style="1" customWidth="1"/>
    <col min="4098" max="4098" width="12.1640625" style="1" bestFit="1" customWidth="1"/>
    <col min="4099" max="4346" width="11.5" style="1"/>
    <col min="4347" max="4347" width="10.33203125" style="1" customWidth="1"/>
    <col min="4348" max="4348" width="87.5" style="1" bestFit="1" customWidth="1"/>
    <col min="4349" max="4349" width="2.33203125" style="1" customWidth="1"/>
    <col min="4350" max="4350" width="22.33203125" style="1" customWidth="1"/>
    <col min="4351" max="4351" width="17" style="1" customWidth="1"/>
    <col min="4352" max="4352" width="11.5" style="1"/>
    <col min="4353" max="4353" width="16.5" style="1" customWidth="1"/>
    <col min="4354" max="4354" width="12.1640625" style="1" bestFit="1" customWidth="1"/>
    <col min="4355" max="4602" width="11.5" style="1"/>
    <col min="4603" max="4603" width="10.33203125" style="1" customWidth="1"/>
    <col min="4604" max="4604" width="87.5" style="1" bestFit="1" customWidth="1"/>
    <col min="4605" max="4605" width="2.33203125" style="1" customWidth="1"/>
    <col min="4606" max="4606" width="22.33203125" style="1" customWidth="1"/>
    <col min="4607" max="4607" width="17" style="1" customWidth="1"/>
    <col min="4608" max="4608" width="11.5" style="1"/>
    <col min="4609" max="4609" width="16.5" style="1" customWidth="1"/>
    <col min="4610" max="4610" width="12.1640625" style="1" bestFit="1" customWidth="1"/>
    <col min="4611" max="4858" width="11.5" style="1"/>
    <col min="4859" max="4859" width="10.33203125" style="1" customWidth="1"/>
    <col min="4860" max="4860" width="87.5" style="1" bestFit="1" customWidth="1"/>
    <col min="4861" max="4861" width="2.33203125" style="1" customWidth="1"/>
    <col min="4862" max="4862" width="22.33203125" style="1" customWidth="1"/>
    <col min="4863" max="4863" width="17" style="1" customWidth="1"/>
    <col min="4864" max="4864" width="11.5" style="1"/>
    <col min="4865" max="4865" width="16.5" style="1" customWidth="1"/>
    <col min="4866" max="4866" width="12.1640625" style="1" bestFit="1" customWidth="1"/>
    <col min="4867" max="5114" width="11.5" style="1"/>
    <col min="5115" max="5115" width="10.33203125" style="1" customWidth="1"/>
    <col min="5116" max="5116" width="87.5" style="1" bestFit="1" customWidth="1"/>
    <col min="5117" max="5117" width="2.33203125" style="1" customWidth="1"/>
    <col min="5118" max="5118" width="22.33203125" style="1" customWidth="1"/>
    <col min="5119" max="5119" width="17" style="1" customWidth="1"/>
    <col min="5120" max="5120" width="11.5" style="1"/>
    <col min="5121" max="5121" width="16.5" style="1" customWidth="1"/>
    <col min="5122" max="5122" width="12.1640625" style="1" bestFit="1" customWidth="1"/>
    <col min="5123" max="5370" width="11.5" style="1"/>
    <col min="5371" max="5371" width="10.33203125" style="1" customWidth="1"/>
    <col min="5372" max="5372" width="87.5" style="1" bestFit="1" customWidth="1"/>
    <col min="5373" max="5373" width="2.33203125" style="1" customWidth="1"/>
    <col min="5374" max="5374" width="22.33203125" style="1" customWidth="1"/>
    <col min="5375" max="5375" width="17" style="1" customWidth="1"/>
    <col min="5376" max="5376" width="11.5" style="1"/>
    <col min="5377" max="5377" width="16.5" style="1" customWidth="1"/>
    <col min="5378" max="5378" width="12.1640625" style="1" bestFit="1" customWidth="1"/>
    <col min="5379" max="5626" width="11.5" style="1"/>
    <col min="5627" max="5627" width="10.33203125" style="1" customWidth="1"/>
    <col min="5628" max="5628" width="87.5" style="1" bestFit="1" customWidth="1"/>
    <col min="5629" max="5629" width="2.33203125" style="1" customWidth="1"/>
    <col min="5630" max="5630" width="22.33203125" style="1" customWidth="1"/>
    <col min="5631" max="5631" width="17" style="1" customWidth="1"/>
    <col min="5632" max="5632" width="11.5" style="1"/>
    <col min="5633" max="5633" width="16.5" style="1" customWidth="1"/>
    <col min="5634" max="5634" width="12.1640625" style="1" bestFit="1" customWidth="1"/>
    <col min="5635" max="5882" width="11.5" style="1"/>
    <col min="5883" max="5883" width="10.33203125" style="1" customWidth="1"/>
    <col min="5884" max="5884" width="87.5" style="1" bestFit="1" customWidth="1"/>
    <col min="5885" max="5885" width="2.33203125" style="1" customWidth="1"/>
    <col min="5886" max="5886" width="22.33203125" style="1" customWidth="1"/>
    <col min="5887" max="5887" width="17" style="1" customWidth="1"/>
    <col min="5888" max="5888" width="11.5" style="1"/>
    <col min="5889" max="5889" width="16.5" style="1" customWidth="1"/>
    <col min="5890" max="5890" width="12.1640625" style="1" bestFit="1" customWidth="1"/>
    <col min="5891" max="6138" width="11.5" style="1"/>
    <col min="6139" max="6139" width="10.33203125" style="1" customWidth="1"/>
    <col min="6140" max="6140" width="87.5" style="1" bestFit="1" customWidth="1"/>
    <col min="6141" max="6141" width="2.33203125" style="1" customWidth="1"/>
    <col min="6142" max="6142" width="22.33203125" style="1" customWidth="1"/>
    <col min="6143" max="6143" width="17" style="1" customWidth="1"/>
    <col min="6144" max="6144" width="11.5" style="1"/>
    <col min="6145" max="6145" width="16.5" style="1" customWidth="1"/>
    <col min="6146" max="6146" width="12.1640625" style="1" bestFit="1" customWidth="1"/>
    <col min="6147" max="6394" width="11.5" style="1"/>
    <col min="6395" max="6395" width="10.33203125" style="1" customWidth="1"/>
    <col min="6396" max="6396" width="87.5" style="1" bestFit="1" customWidth="1"/>
    <col min="6397" max="6397" width="2.33203125" style="1" customWidth="1"/>
    <col min="6398" max="6398" width="22.33203125" style="1" customWidth="1"/>
    <col min="6399" max="6399" width="17" style="1" customWidth="1"/>
    <col min="6400" max="6400" width="11.5" style="1"/>
    <col min="6401" max="6401" width="16.5" style="1" customWidth="1"/>
    <col min="6402" max="6402" width="12.1640625" style="1" bestFit="1" customWidth="1"/>
    <col min="6403" max="6650" width="11.5" style="1"/>
    <col min="6651" max="6651" width="10.33203125" style="1" customWidth="1"/>
    <col min="6652" max="6652" width="87.5" style="1" bestFit="1" customWidth="1"/>
    <col min="6653" max="6653" width="2.33203125" style="1" customWidth="1"/>
    <col min="6654" max="6654" width="22.33203125" style="1" customWidth="1"/>
    <col min="6655" max="6655" width="17" style="1" customWidth="1"/>
    <col min="6656" max="6656" width="11.5" style="1"/>
    <col min="6657" max="6657" width="16.5" style="1" customWidth="1"/>
    <col min="6658" max="6658" width="12.1640625" style="1" bestFit="1" customWidth="1"/>
    <col min="6659" max="6906" width="11.5" style="1"/>
    <col min="6907" max="6907" width="10.33203125" style="1" customWidth="1"/>
    <col min="6908" max="6908" width="87.5" style="1" bestFit="1" customWidth="1"/>
    <col min="6909" max="6909" width="2.33203125" style="1" customWidth="1"/>
    <col min="6910" max="6910" width="22.33203125" style="1" customWidth="1"/>
    <col min="6911" max="6911" width="17" style="1" customWidth="1"/>
    <col min="6912" max="6912" width="11.5" style="1"/>
    <col min="6913" max="6913" width="16.5" style="1" customWidth="1"/>
    <col min="6914" max="6914" width="12.1640625" style="1" bestFit="1" customWidth="1"/>
    <col min="6915" max="7162" width="11.5" style="1"/>
    <col min="7163" max="7163" width="10.33203125" style="1" customWidth="1"/>
    <col min="7164" max="7164" width="87.5" style="1" bestFit="1" customWidth="1"/>
    <col min="7165" max="7165" width="2.33203125" style="1" customWidth="1"/>
    <col min="7166" max="7166" width="22.33203125" style="1" customWidth="1"/>
    <col min="7167" max="7167" width="17" style="1" customWidth="1"/>
    <col min="7168" max="7168" width="11.5" style="1"/>
    <col min="7169" max="7169" width="16.5" style="1" customWidth="1"/>
    <col min="7170" max="7170" width="12.1640625" style="1" bestFit="1" customWidth="1"/>
    <col min="7171" max="7418" width="11.5" style="1"/>
    <col min="7419" max="7419" width="10.33203125" style="1" customWidth="1"/>
    <col min="7420" max="7420" width="87.5" style="1" bestFit="1" customWidth="1"/>
    <col min="7421" max="7421" width="2.33203125" style="1" customWidth="1"/>
    <col min="7422" max="7422" width="22.33203125" style="1" customWidth="1"/>
    <col min="7423" max="7423" width="17" style="1" customWidth="1"/>
    <col min="7424" max="7424" width="11.5" style="1"/>
    <col min="7425" max="7425" width="16.5" style="1" customWidth="1"/>
    <col min="7426" max="7426" width="12.1640625" style="1" bestFit="1" customWidth="1"/>
    <col min="7427" max="7674" width="11.5" style="1"/>
    <col min="7675" max="7675" width="10.33203125" style="1" customWidth="1"/>
    <col min="7676" max="7676" width="87.5" style="1" bestFit="1" customWidth="1"/>
    <col min="7677" max="7677" width="2.33203125" style="1" customWidth="1"/>
    <col min="7678" max="7678" width="22.33203125" style="1" customWidth="1"/>
    <col min="7679" max="7679" width="17" style="1" customWidth="1"/>
    <col min="7680" max="7680" width="11.5" style="1"/>
    <col min="7681" max="7681" width="16.5" style="1" customWidth="1"/>
    <col min="7682" max="7682" width="12.1640625" style="1" bestFit="1" customWidth="1"/>
    <col min="7683" max="7930" width="11.5" style="1"/>
    <col min="7931" max="7931" width="10.33203125" style="1" customWidth="1"/>
    <col min="7932" max="7932" width="87.5" style="1" bestFit="1" customWidth="1"/>
    <col min="7933" max="7933" width="2.33203125" style="1" customWidth="1"/>
    <col min="7934" max="7934" width="22.33203125" style="1" customWidth="1"/>
    <col min="7935" max="7935" width="17" style="1" customWidth="1"/>
    <col min="7936" max="7936" width="11.5" style="1"/>
    <col min="7937" max="7937" width="16.5" style="1" customWidth="1"/>
    <col min="7938" max="7938" width="12.1640625" style="1" bestFit="1" customWidth="1"/>
    <col min="7939" max="8186" width="11.5" style="1"/>
    <col min="8187" max="8187" width="10.33203125" style="1" customWidth="1"/>
    <col min="8188" max="8188" width="87.5" style="1" bestFit="1" customWidth="1"/>
    <col min="8189" max="8189" width="2.33203125" style="1" customWidth="1"/>
    <col min="8190" max="8190" width="22.33203125" style="1" customWidth="1"/>
    <col min="8191" max="8191" width="17" style="1" customWidth="1"/>
    <col min="8192" max="8192" width="11.5" style="1"/>
    <col min="8193" max="8193" width="16.5" style="1" customWidth="1"/>
    <col min="8194" max="8194" width="12.1640625" style="1" bestFit="1" customWidth="1"/>
    <col min="8195" max="8442" width="11.5" style="1"/>
    <col min="8443" max="8443" width="10.33203125" style="1" customWidth="1"/>
    <col min="8444" max="8444" width="87.5" style="1" bestFit="1" customWidth="1"/>
    <col min="8445" max="8445" width="2.33203125" style="1" customWidth="1"/>
    <col min="8446" max="8446" width="22.33203125" style="1" customWidth="1"/>
    <col min="8447" max="8447" width="17" style="1" customWidth="1"/>
    <col min="8448" max="8448" width="11.5" style="1"/>
    <col min="8449" max="8449" width="16.5" style="1" customWidth="1"/>
    <col min="8450" max="8450" width="12.1640625" style="1" bestFit="1" customWidth="1"/>
    <col min="8451" max="8698" width="11.5" style="1"/>
    <col min="8699" max="8699" width="10.33203125" style="1" customWidth="1"/>
    <col min="8700" max="8700" width="87.5" style="1" bestFit="1" customWidth="1"/>
    <col min="8701" max="8701" width="2.33203125" style="1" customWidth="1"/>
    <col min="8702" max="8702" width="22.33203125" style="1" customWidth="1"/>
    <col min="8703" max="8703" width="17" style="1" customWidth="1"/>
    <col min="8704" max="8704" width="11.5" style="1"/>
    <col min="8705" max="8705" width="16.5" style="1" customWidth="1"/>
    <col min="8706" max="8706" width="12.1640625" style="1" bestFit="1" customWidth="1"/>
    <col min="8707" max="8954" width="11.5" style="1"/>
    <col min="8955" max="8955" width="10.33203125" style="1" customWidth="1"/>
    <col min="8956" max="8956" width="87.5" style="1" bestFit="1" customWidth="1"/>
    <col min="8957" max="8957" width="2.33203125" style="1" customWidth="1"/>
    <col min="8958" max="8958" width="22.33203125" style="1" customWidth="1"/>
    <col min="8959" max="8959" width="17" style="1" customWidth="1"/>
    <col min="8960" max="8960" width="11.5" style="1"/>
    <col min="8961" max="8961" width="16.5" style="1" customWidth="1"/>
    <col min="8962" max="8962" width="12.1640625" style="1" bestFit="1" customWidth="1"/>
    <col min="8963" max="9210" width="11.5" style="1"/>
    <col min="9211" max="9211" width="10.33203125" style="1" customWidth="1"/>
    <col min="9212" max="9212" width="87.5" style="1" bestFit="1" customWidth="1"/>
    <col min="9213" max="9213" width="2.33203125" style="1" customWidth="1"/>
    <col min="9214" max="9214" width="22.33203125" style="1" customWidth="1"/>
    <col min="9215" max="9215" width="17" style="1" customWidth="1"/>
    <col min="9216" max="9216" width="11.5" style="1"/>
    <col min="9217" max="9217" width="16.5" style="1" customWidth="1"/>
    <col min="9218" max="9218" width="12.1640625" style="1" bestFit="1" customWidth="1"/>
    <col min="9219" max="9466" width="11.5" style="1"/>
    <col min="9467" max="9467" width="10.33203125" style="1" customWidth="1"/>
    <col min="9468" max="9468" width="87.5" style="1" bestFit="1" customWidth="1"/>
    <col min="9469" max="9469" width="2.33203125" style="1" customWidth="1"/>
    <col min="9470" max="9470" width="22.33203125" style="1" customWidth="1"/>
    <col min="9471" max="9471" width="17" style="1" customWidth="1"/>
    <col min="9472" max="9472" width="11.5" style="1"/>
    <col min="9473" max="9473" width="16.5" style="1" customWidth="1"/>
    <col min="9474" max="9474" width="12.1640625" style="1" bestFit="1" customWidth="1"/>
    <col min="9475" max="9722" width="11.5" style="1"/>
    <col min="9723" max="9723" width="10.33203125" style="1" customWidth="1"/>
    <col min="9724" max="9724" width="87.5" style="1" bestFit="1" customWidth="1"/>
    <col min="9725" max="9725" width="2.33203125" style="1" customWidth="1"/>
    <col min="9726" max="9726" width="22.33203125" style="1" customWidth="1"/>
    <col min="9727" max="9727" width="17" style="1" customWidth="1"/>
    <col min="9728" max="9728" width="11.5" style="1"/>
    <col min="9729" max="9729" width="16.5" style="1" customWidth="1"/>
    <col min="9730" max="9730" width="12.1640625" style="1" bestFit="1" customWidth="1"/>
    <col min="9731" max="9978" width="11.5" style="1"/>
    <col min="9979" max="9979" width="10.33203125" style="1" customWidth="1"/>
    <col min="9980" max="9980" width="87.5" style="1" bestFit="1" customWidth="1"/>
    <col min="9981" max="9981" width="2.33203125" style="1" customWidth="1"/>
    <col min="9982" max="9982" width="22.33203125" style="1" customWidth="1"/>
    <col min="9983" max="9983" width="17" style="1" customWidth="1"/>
    <col min="9984" max="9984" width="11.5" style="1"/>
    <col min="9985" max="9985" width="16.5" style="1" customWidth="1"/>
    <col min="9986" max="9986" width="12.1640625" style="1" bestFit="1" customWidth="1"/>
    <col min="9987" max="10234" width="11.5" style="1"/>
    <col min="10235" max="10235" width="10.33203125" style="1" customWidth="1"/>
    <col min="10236" max="10236" width="87.5" style="1" bestFit="1" customWidth="1"/>
    <col min="10237" max="10237" width="2.33203125" style="1" customWidth="1"/>
    <col min="10238" max="10238" width="22.33203125" style="1" customWidth="1"/>
    <col min="10239" max="10239" width="17" style="1" customWidth="1"/>
    <col min="10240" max="10240" width="11.5" style="1"/>
    <col min="10241" max="10241" width="16.5" style="1" customWidth="1"/>
    <col min="10242" max="10242" width="12.1640625" style="1" bestFit="1" customWidth="1"/>
    <col min="10243" max="10490" width="11.5" style="1"/>
    <col min="10491" max="10491" width="10.33203125" style="1" customWidth="1"/>
    <col min="10492" max="10492" width="87.5" style="1" bestFit="1" customWidth="1"/>
    <col min="10493" max="10493" width="2.33203125" style="1" customWidth="1"/>
    <col min="10494" max="10494" width="22.33203125" style="1" customWidth="1"/>
    <col min="10495" max="10495" width="17" style="1" customWidth="1"/>
    <col min="10496" max="10496" width="11.5" style="1"/>
    <col min="10497" max="10497" width="16.5" style="1" customWidth="1"/>
    <col min="10498" max="10498" width="12.1640625" style="1" bestFit="1" customWidth="1"/>
    <col min="10499" max="10746" width="11.5" style="1"/>
    <col min="10747" max="10747" width="10.33203125" style="1" customWidth="1"/>
    <col min="10748" max="10748" width="87.5" style="1" bestFit="1" customWidth="1"/>
    <col min="10749" max="10749" width="2.33203125" style="1" customWidth="1"/>
    <col min="10750" max="10750" width="22.33203125" style="1" customWidth="1"/>
    <col min="10751" max="10751" width="17" style="1" customWidth="1"/>
    <col min="10752" max="10752" width="11.5" style="1"/>
    <col min="10753" max="10753" width="16.5" style="1" customWidth="1"/>
    <col min="10754" max="10754" width="12.1640625" style="1" bestFit="1" customWidth="1"/>
    <col min="10755" max="11002" width="11.5" style="1"/>
    <col min="11003" max="11003" width="10.33203125" style="1" customWidth="1"/>
    <col min="11004" max="11004" width="87.5" style="1" bestFit="1" customWidth="1"/>
    <col min="11005" max="11005" width="2.33203125" style="1" customWidth="1"/>
    <col min="11006" max="11006" width="22.33203125" style="1" customWidth="1"/>
    <col min="11007" max="11007" width="17" style="1" customWidth="1"/>
    <col min="11008" max="11008" width="11.5" style="1"/>
    <col min="11009" max="11009" width="16.5" style="1" customWidth="1"/>
    <col min="11010" max="11010" width="12.1640625" style="1" bestFit="1" customWidth="1"/>
    <col min="11011" max="11258" width="11.5" style="1"/>
    <col min="11259" max="11259" width="10.33203125" style="1" customWidth="1"/>
    <col min="11260" max="11260" width="87.5" style="1" bestFit="1" customWidth="1"/>
    <col min="11261" max="11261" width="2.33203125" style="1" customWidth="1"/>
    <col min="11262" max="11262" width="22.33203125" style="1" customWidth="1"/>
    <col min="11263" max="11263" width="17" style="1" customWidth="1"/>
    <col min="11264" max="11264" width="11.5" style="1"/>
    <col min="11265" max="11265" width="16.5" style="1" customWidth="1"/>
    <col min="11266" max="11266" width="12.1640625" style="1" bestFit="1" customWidth="1"/>
    <col min="11267" max="11514" width="11.5" style="1"/>
    <col min="11515" max="11515" width="10.33203125" style="1" customWidth="1"/>
    <col min="11516" max="11516" width="87.5" style="1" bestFit="1" customWidth="1"/>
    <col min="11517" max="11517" width="2.33203125" style="1" customWidth="1"/>
    <col min="11518" max="11518" width="22.33203125" style="1" customWidth="1"/>
    <col min="11519" max="11519" width="17" style="1" customWidth="1"/>
    <col min="11520" max="11520" width="11.5" style="1"/>
    <col min="11521" max="11521" width="16.5" style="1" customWidth="1"/>
    <col min="11522" max="11522" width="12.1640625" style="1" bestFit="1" customWidth="1"/>
    <col min="11523" max="11770" width="11.5" style="1"/>
    <col min="11771" max="11771" width="10.33203125" style="1" customWidth="1"/>
    <col min="11772" max="11772" width="87.5" style="1" bestFit="1" customWidth="1"/>
    <col min="11773" max="11773" width="2.33203125" style="1" customWidth="1"/>
    <col min="11774" max="11774" width="22.33203125" style="1" customWidth="1"/>
    <col min="11775" max="11775" width="17" style="1" customWidth="1"/>
    <col min="11776" max="11776" width="11.5" style="1"/>
    <col min="11777" max="11777" width="16.5" style="1" customWidth="1"/>
    <col min="11778" max="11778" width="12.1640625" style="1" bestFit="1" customWidth="1"/>
    <col min="11779" max="12026" width="11.5" style="1"/>
    <col min="12027" max="12027" width="10.33203125" style="1" customWidth="1"/>
    <col min="12028" max="12028" width="87.5" style="1" bestFit="1" customWidth="1"/>
    <col min="12029" max="12029" width="2.33203125" style="1" customWidth="1"/>
    <col min="12030" max="12030" width="22.33203125" style="1" customWidth="1"/>
    <col min="12031" max="12031" width="17" style="1" customWidth="1"/>
    <col min="12032" max="12032" width="11.5" style="1"/>
    <col min="12033" max="12033" width="16.5" style="1" customWidth="1"/>
    <col min="12034" max="12034" width="12.1640625" style="1" bestFit="1" customWidth="1"/>
    <col min="12035" max="12282" width="11.5" style="1"/>
    <col min="12283" max="12283" width="10.33203125" style="1" customWidth="1"/>
    <col min="12284" max="12284" width="87.5" style="1" bestFit="1" customWidth="1"/>
    <col min="12285" max="12285" width="2.33203125" style="1" customWidth="1"/>
    <col min="12286" max="12286" width="22.33203125" style="1" customWidth="1"/>
    <col min="12287" max="12287" width="17" style="1" customWidth="1"/>
    <col min="12288" max="12288" width="11.5" style="1"/>
    <col min="12289" max="12289" width="16.5" style="1" customWidth="1"/>
    <col min="12290" max="12290" width="12.1640625" style="1" bestFit="1" customWidth="1"/>
    <col min="12291" max="12538" width="11.5" style="1"/>
    <col min="12539" max="12539" width="10.33203125" style="1" customWidth="1"/>
    <col min="12540" max="12540" width="87.5" style="1" bestFit="1" customWidth="1"/>
    <col min="12541" max="12541" width="2.33203125" style="1" customWidth="1"/>
    <col min="12542" max="12542" width="22.33203125" style="1" customWidth="1"/>
    <col min="12543" max="12543" width="17" style="1" customWidth="1"/>
    <col min="12544" max="12544" width="11.5" style="1"/>
    <col min="12545" max="12545" width="16.5" style="1" customWidth="1"/>
    <col min="12546" max="12546" width="12.1640625" style="1" bestFit="1" customWidth="1"/>
    <col min="12547" max="12794" width="11.5" style="1"/>
    <col min="12795" max="12795" width="10.33203125" style="1" customWidth="1"/>
    <col min="12796" max="12796" width="87.5" style="1" bestFit="1" customWidth="1"/>
    <col min="12797" max="12797" width="2.33203125" style="1" customWidth="1"/>
    <col min="12798" max="12798" width="22.33203125" style="1" customWidth="1"/>
    <col min="12799" max="12799" width="17" style="1" customWidth="1"/>
    <col min="12800" max="12800" width="11.5" style="1"/>
    <col min="12801" max="12801" width="16.5" style="1" customWidth="1"/>
    <col min="12802" max="12802" width="12.1640625" style="1" bestFit="1" customWidth="1"/>
    <col min="12803" max="13050" width="11.5" style="1"/>
    <col min="13051" max="13051" width="10.33203125" style="1" customWidth="1"/>
    <col min="13052" max="13052" width="87.5" style="1" bestFit="1" customWidth="1"/>
    <col min="13053" max="13053" width="2.33203125" style="1" customWidth="1"/>
    <col min="13054" max="13054" width="22.33203125" style="1" customWidth="1"/>
    <col min="13055" max="13055" width="17" style="1" customWidth="1"/>
    <col min="13056" max="13056" width="11.5" style="1"/>
    <col min="13057" max="13057" width="16.5" style="1" customWidth="1"/>
    <col min="13058" max="13058" width="12.1640625" style="1" bestFit="1" customWidth="1"/>
    <col min="13059" max="13306" width="11.5" style="1"/>
    <col min="13307" max="13307" width="10.33203125" style="1" customWidth="1"/>
    <col min="13308" max="13308" width="87.5" style="1" bestFit="1" customWidth="1"/>
    <col min="13309" max="13309" width="2.33203125" style="1" customWidth="1"/>
    <col min="13310" max="13310" width="22.33203125" style="1" customWidth="1"/>
    <col min="13311" max="13311" width="17" style="1" customWidth="1"/>
    <col min="13312" max="13312" width="11.5" style="1"/>
    <col min="13313" max="13313" width="16.5" style="1" customWidth="1"/>
    <col min="13314" max="13314" width="12.1640625" style="1" bestFit="1" customWidth="1"/>
    <col min="13315" max="13562" width="11.5" style="1"/>
    <col min="13563" max="13563" width="10.33203125" style="1" customWidth="1"/>
    <col min="13564" max="13564" width="87.5" style="1" bestFit="1" customWidth="1"/>
    <col min="13565" max="13565" width="2.33203125" style="1" customWidth="1"/>
    <col min="13566" max="13566" width="22.33203125" style="1" customWidth="1"/>
    <col min="13567" max="13567" width="17" style="1" customWidth="1"/>
    <col min="13568" max="13568" width="11.5" style="1"/>
    <col min="13569" max="13569" width="16.5" style="1" customWidth="1"/>
    <col min="13570" max="13570" width="12.1640625" style="1" bestFit="1" customWidth="1"/>
    <col min="13571" max="13818" width="11.5" style="1"/>
    <col min="13819" max="13819" width="10.33203125" style="1" customWidth="1"/>
    <col min="13820" max="13820" width="87.5" style="1" bestFit="1" customWidth="1"/>
    <col min="13821" max="13821" width="2.33203125" style="1" customWidth="1"/>
    <col min="13822" max="13822" width="22.33203125" style="1" customWidth="1"/>
    <col min="13823" max="13823" width="17" style="1" customWidth="1"/>
    <col min="13824" max="13824" width="11.5" style="1"/>
    <col min="13825" max="13825" width="16.5" style="1" customWidth="1"/>
    <col min="13826" max="13826" width="12.1640625" style="1" bestFit="1" customWidth="1"/>
    <col min="13827" max="14074" width="11.5" style="1"/>
    <col min="14075" max="14075" width="10.33203125" style="1" customWidth="1"/>
    <col min="14076" max="14076" width="87.5" style="1" bestFit="1" customWidth="1"/>
    <col min="14077" max="14077" width="2.33203125" style="1" customWidth="1"/>
    <col min="14078" max="14078" width="22.33203125" style="1" customWidth="1"/>
    <col min="14079" max="14079" width="17" style="1" customWidth="1"/>
    <col min="14080" max="14080" width="11.5" style="1"/>
    <col min="14081" max="14081" width="16.5" style="1" customWidth="1"/>
    <col min="14082" max="14082" width="12.1640625" style="1" bestFit="1" customWidth="1"/>
    <col min="14083" max="14330" width="11.5" style="1"/>
    <col min="14331" max="14331" width="10.33203125" style="1" customWidth="1"/>
    <col min="14332" max="14332" width="87.5" style="1" bestFit="1" customWidth="1"/>
    <col min="14333" max="14333" width="2.33203125" style="1" customWidth="1"/>
    <col min="14334" max="14334" width="22.33203125" style="1" customWidth="1"/>
    <col min="14335" max="14335" width="17" style="1" customWidth="1"/>
    <col min="14336" max="14336" width="11.5" style="1"/>
    <col min="14337" max="14337" width="16.5" style="1" customWidth="1"/>
    <col min="14338" max="14338" width="12.1640625" style="1" bestFit="1" customWidth="1"/>
    <col min="14339" max="14586" width="11.5" style="1"/>
    <col min="14587" max="14587" width="10.33203125" style="1" customWidth="1"/>
    <col min="14588" max="14588" width="87.5" style="1" bestFit="1" customWidth="1"/>
    <col min="14589" max="14589" width="2.33203125" style="1" customWidth="1"/>
    <col min="14590" max="14590" width="22.33203125" style="1" customWidth="1"/>
    <col min="14591" max="14591" width="17" style="1" customWidth="1"/>
    <col min="14592" max="14592" width="11.5" style="1"/>
    <col min="14593" max="14593" width="16.5" style="1" customWidth="1"/>
    <col min="14594" max="14594" width="12.1640625" style="1" bestFit="1" customWidth="1"/>
    <col min="14595" max="14842" width="11.5" style="1"/>
    <col min="14843" max="14843" width="10.33203125" style="1" customWidth="1"/>
    <col min="14844" max="14844" width="87.5" style="1" bestFit="1" customWidth="1"/>
    <col min="14845" max="14845" width="2.33203125" style="1" customWidth="1"/>
    <col min="14846" max="14846" width="22.33203125" style="1" customWidth="1"/>
    <col min="14847" max="14847" width="17" style="1" customWidth="1"/>
    <col min="14848" max="14848" width="11.5" style="1"/>
    <col min="14849" max="14849" width="16.5" style="1" customWidth="1"/>
    <col min="14850" max="14850" width="12.1640625" style="1" bestFit="1" customWidth="1"/>
    <col min="14851" max="15098" width="11.5" style="1"/>
    <col min="15099" max="15099" width="10.33203125" style="1" customWidth="1"/>
    <col min="15100" max="15100" width="87.5" style="1" bestFit="1" customWidth="1"/>
    <col min="15101" max="15101" width="2.33203125" style="1" customWidth="1"/>
    <col min="15102" max="15102" width="22.33203125" style="1" customWidth="1"/>
    <col min="15103" max="15103" width="17" style="1" customWidth="1"/>
    <col min="15104" max="15104" width="11.5" style="1"/>
    <col min="15105" max="15105" width="16.5" style="1" customWidth="1"/>
    <col min="15106" max="15106" width="12.1640625" style="1" bestFit="1" customWidth="1"/>
    <col min="15107" max="15354" width="11.5" style="1"/>
    <col min="15355" max="15355" width="10.33203125" style="1" customWidth="1"/>
    <col min="15356" max="15356" width="87.5" style="1" bestFit="1" customWidth="1"/>
    <col min="15357" max="15357" width="2.33203125" style="1" customWidth="1"/>
    <col min="15358" max="15358" width="22.33203125" style="1" customWidth="1"/>
    <col min="15359" max="15359" width="17" style="1" customWidth="1"/>
    <col min="15360" max="15360" width="11.5" style="1"/>
    <col min="15361" max="15361" width="16.5" style="1" customWidth="1"/>
    <col min="15362" max="15362" width="12.1640625" style="1" bestFit="1" customWidth="1"/>
    <col min="15363" max="15610" width="11.5" style="1"/>
    <col min="15611" max="15611" width="10.33203125" style="1" customWidth="1"/>
    <col min="15612" max="15612" width="87.5" style="1" bestFit="1" customWidth="1"/>
    <col min="15613" max="15613" width="2.33203125" style="1" customWidth="1"/>
    <col min="15614" max="15614" width="22.33203125" style="1" customWidth="1"/>
    <col min="15615" max="15615" width="17" style="1" customWidth="1"/>
    <col min="15616" max="15616" width="11.5" style="1"/>
    <col min="15617" max="15617" width="16.5" style="1" customWidth="1"/>
    <col min="15618" max="15618" width="12.1640625" style="1" bestFit="1" customWidth="1"/>
    <col min="15619" max="15866" width="11.5" style="1"/>
    <col min="15867" max="15867" width="10.33203125" style="1" customWidth="1"/>
    <col min="15868" max="15868" width="87.5" style="1" bestFit="1" customWidth="1"/>
    <col min="15869" max="15869" width="2.33203125" style="1" customWidth="1"/>
    <col min="15870" max="15870" width="22.33203125" style="1" customWidth="1"/>
    <col min="15871" max="15871" width="17" style="1" customWidth="1"/>
    <col min="15872" max="15872" width="11.5" style="1"/>
    <col min="15873" max="15873" width="16.5" style="1" customWidth="1"/>
    <col min="15874" max="15874" width="12.1640625" style="1" bestFit="1" customWidth="1"/>
    <col min="15875" max="16122" width="11.5" style="1"/>
    <col min="16123" max="16123" width="10.33203125" style="1" customWidth="1"/>
    <col min="16124" max="16124" width="87.5" style="1" bestFit="1" customWidth="1"/>
    <col min="16125" max="16125" width="2.33203125" style="1" customWidth="1"/>
    <col min="16126" max="16126" width="22.33203125" style="1" customWidth="1"/>
    <col min="16127" max="16127" width="17" style="1" customWidth="1"/>
    <col min="16128" max="16128" width="11.5" style="1"/>
    <col min="16129" max="16129" width="16.5" style="1" customWidth="1"/>
    <col min="16130" max="16130" width="12.1640625" style="1" bestFit="1" customWidth="1"/>
    <col min="16131" max="16384" width="11.5" style="1"/>
  </cols>
  <sheetData>
    <row r="1" spans="1:21">
      <c r="A1" s="57"/>
      <c r="B1" s="19"/>
      <c r="C1" s="19"/>
      <c r="D1" s="19"/>
      <c r="E1" s="19" t="s">
        <v>13</v>
      </c>
      <c r="F1" s="19"/>
      <c r="G1" s="19"/>
      <c r="H1" s="19"/>
      <c r="I1" s="19"/>
      <c r="J1" s="20"/>
      <c r="M1" s="108" t="s">
        <v>5</v>
      </c>
      <c r="N1" s="108" t="s">
        <v>5</v>
      </c>
      <c r="O1" s="108" t="s">
        <v>6</v>
      </c>
      <c r="P1" s="108" t="s">
        <v>7</v>
      </c>
      <c r="Q1" s="108" t="s">
        <v>8</v>
      </c>
      <c r="R1" s="108" t="s">
        <v>9</v>
      </c>
      <c r="S1" s="108" t="s">
        <v>10</v>
      </c>
      <c r="T1" s="108" t="s">
        <v>11</v>
      </c>
      <c r="U1" s="108" t="s">
        <v>12</v>
      </c>
    </row>
    <row r="2" spans="1:21" ht="20">
      <c r="A2" s="90" t="s">
        <v>14</v>
      </c>
      <c r="B2" s="91"/>
      <c r="C2" s="91"/>
      <c r="D2" s="91"/>
      <c r="E2" s="91"/>
      <c r="F2" s="91"/>
      <c r="G2" s="91"/>
      <c r="H2" s="91"/>
      <c r="I2" s="91"/>
      <c r="J2" s="92"/>
      <c r="M2" s="109" t="s">
        <v>4</v>
      </c>
      <c r="N2" s="109" t="s">
        <v>2</v>
      </c>
      <c r="O2" s="110" t="s">
        <v>22</v>
      </c>
      <c r="P2" s="110">
        <v>22</v>
      </c>
      <c r="Q2" s="110" t="s">
        <v>1</v>
      </c>
      <c r="R2" s="111">
        <v>10</v>
      </c>
      <c r="S2" s="111">
        <v>250</v>
      </c>
      <c r="T2" s="111">
        <v>12</v>
      </c>
      <c r="U2" s="112">
        <v>0</v>
      </c>
    </row>
    <row r="3" spans="1:21">
      <c r="A3" s="58"/>
      <c r="B3" s="21"/>
      <c r="C3" s="21"/>
      <c r="D3" s="21"/>
      <c r="E3" s="21"/>
      <c r="F3" s="21"/>
      <c r="G3" s="21"/>
      <c r="H3" s="21"/>
      <c r="I3" s="21"/>
      <c r="J3" s="22"/>
    </row>
    <row r="5" spans="1:21" ht="14">
      <c r="E5" s="79" t="s">
        <v>21</v>
      </c>
      <c r="F5" s="80"/>
      <c r="G5" s="130">
        <f ca="1">NOW()</f>
        <v>46003.68523865741</v>
      </c>
      <c r="H5" s="130"/>
      <c r="I5" s="130"/>
      <c r="J5" s="131"/>
    </row>
    <row r="6" spans="1:21" ht="55" customHeight="1">
      <c r="B6" s="113" t="s">
        <v>28</v>
      </c>
      <c r="E6" s="81" t="s">
        <v>29</v>
      </c>
      <c r="F6" s="78"/>
      <c r="J6" s="82"/>
    </row>
    <row r="7" spans="1:21" ht="14">
      <c r="A7" s="64"/>
      <c r="B7" s="77"/>
      <c r="E7" s="83" t="s">
        <v>30</v>
      </c>
      <c r="F7" s="84"/>
      <c r="G7" s="132"/>
      <c r="H7" s="132"/>
      <c r="I7" s="132"/>
      <c r="J7" s="133"/>
    </row>
    <row r="9" spans="1:21" s="6" customFormat="1" ht="14">
      <c r="A9" s="134" t="s">
        <v>17</v>
      </c>
      <c r="B9" s="135"/>
      <c r="D9" s="134" t="s">
        <v>15</v>
      </c>
      <c r="E9" s="136"/>
      <c r="F9" s="136"/>
      <c r="G9" s="136"/>
      <c r="H9" s="136"/>
      <c r="I9" s="136"/>
      <c r="J9" s="135"/>
    </row>
    <row r="10" spans="1:21" s="6" customFormat="1" ht="14" customHeight="1">
      <c r="A10" s="53" t="s">
        <v>18</v>
      </c>
      <c r="B10" s="54"/>
      <c r="D10" s="137" t="s">
        <v>16</v>
      </c>
      <c r="E10" s="138"/>
      <c r="F10" s="138"/>
      <c r="G10" s="138"/>
      <c r="H10" s="138"/>
      <c r="I10" s="138"/>
      <c r="J10" s="139"/>
    </row>
    <row r="11" spans="1:21" s="6" customFormat="1" ht="15" customHeight="1">
      <c r="A11" s="30" t="s">
        <v>20</v>
      </c>
      <c r="B11" s="31"/>
      <c r="D11" s="140"/>
      <c r="E11" s="141"/>
      <c r="F11" s="141"/>
      <c r="G11" s="141"/>
      <c r="H11" s="32"/>
      <c r="J11" s="7"/>
    </row>
    <row r="12" spans="1:21" s="6" customFormat="1" ht="15" customHeight="1">
      <c r="A12" s="30" t="s">
        <v>19</v>
      </c>
      <c r="B12" s="34"/>
      <c r="D12" s="128"/>
      <c r="E12" s="129"/>
      <c r="F12" s="129"/>
      <c r="G12" s="29"/>
      <c r="H12" s="29"/>
      <c r="I12" s="29"/>
      <c r="J12" s="13"/>
    </row>
    <row r="13" spans="1:21" s="6" customFormat="1" ht="15" customHeight="1">
      <c r="A13" s="33" t="s">
        <v>0</v>
      </c>
      <c r="B13" s="14"/>
      <c r="D13" s="116"/>
      <c r="E13" s="117"/>
      <c r="F13" s="117"/>
      <c r="G13" s="117"/>
      <c r="H13" s="117"/>
      <c r="I13" s="117"/>
      <c r="J13" s="118"/>
      <c r="M13" s="142" t="s">
        <v>51</v>
      </c>
    </row>
    <row r="15" spans="1:21" s="6" customFormat="1" ht="73.5" customHeight="1">
      <c r="A15" s="123" t="s">
        <v>31</v>
      </c>
      <c r="B15" s="124"/>
      <c r="C15" s="124"/>
      <c r="D15" s="125"/>
      <c r="E15" s="42" t="s">
        <v>23</v>
      </c>
      <c r="F15" s="16" t="str">
        <f>"Tariffa Unitaria "&amp;M2&amp;" escluso IVA/mese"</f>
        <v>Tariffa Unitaria € escluso IVA/mese</v>
      </c>
      <c r="G15" s="16" t="s">
        <v>24</v>
      </c>
      <c r="H15" s="16" t="s">
        <v>25</v>
      </c>
      <c r="I15" s="16" t="s">
        <v>26</v>
      </c>
      <c r="J15" s="16" t="str">
        <f>"Totale periodo "&amp;M2&amp;" escluso IVA/mese"</f>
        <v>Totale periodo € escluso IVA/mese</v>
      </c>
    </row>
    <row r="16" spans="1:21" ht="18" customHeight="1">
      <c r="A16" s="119" t="s">
        <v>27</v>
      </c>
      <c r="B16" s="120"/>
      <c r="C16" s="120"/>
      <c r="D16" s="120"/>
      <c r="E16" s="121"/>
      <c r="F16" s="121"/>
      <c r="G16" s="121"/>
      <c r="H16" s="121"/>
      <c r="I16" s="121"/>
      <c r="J16" s="122"/>
    </row>
    <row r="17" spans="1:10" ht="122" customHeight="1">
      <c r="A17" s="126" t="s">
        <v>3</v>
      </c>
      <c r="B17" s="127"/>
      <c r="C17" s="127"/>
      <c r="D17" s="127"/>
      <c r="E17" s="27">
        <v>100000</v>
      </c>
      <c r="F17" s="74">
        <v>3109</v>
      </c>
      <c r="G17" s="28">
        <v>1</v>
      </c>
      <c r="H17" s="107">
        <v>36</v>
      </c>
      <c r="I17" s="55">
        <v>0.15</v>
      </c>
      <c r="J17" s="56">
        <f>F17*G17*(1-I17)</f>
        <v>2642.65</v>
      </c>
    </row>
    <row r="18" spans="1:10" ht="14">
      <c r="A18" s="43"/>
      <c r="B18" s="44"/>
      <c r="C18" s="45"/>
      <c r="D18" s="46"/>
      <c r="E18" s="41"/>
      <c r="F18" s="47"/>
      <c r="G18" s="48"/>
      <c r="H18" s="47"/>
      <c r="I18" s="48"/>
      <c r="J18" s="40"/>
    </row>
    <row r="19" spans="1:10" s="6" customFormat="1" ht="14" customHeight="1">
      <c r="A19" s="37"/>
      <c r="C19" s="2"/>
      <c r="D19" s="2"/>
      <c r="E19" s="2"/>
      <c r="F19" s="2"/>
      <c r="G19" s="2"/>
      <c r="H19" s="2"/>
      <c r="I19" s="2"/>
      <c r="J19" s="2"/>
    </row>
    <row r="20" spans="1:10" s="6" customFormat="1" ht="14" customHeight="1">
      <c r="A20" s="10"/>
      <c r="B20" s="2"/>
      <c r="D20" s="68" t="s">
        <v>32</v>
      </c>
      <c r="E20" s="69"/>
      <c r="F20" s="69"/>
      <c r="G20" s="69"/>
      <c r="H20" s="69"/>
      <c r="I20" s="69"/>
      <c r="J20" s="52">
        <f>SUM(J17:J17)</f>
        <v>2642.65</v>
      </c>
    </row>
    <row r="21" spans="1:10" s="6" customFormat="1" ht="14" customHeight="1">
      <c r="A21" s="10"/>
      <c r="D21" s="70" t="str">
        <f>IF(U2&gt;0,"Exceptional Discount (-"&amp;U2&amp;"%)","")</f>
        <v/>
      </c>
      <c r="E21" s="88"/>
      <c r="F21" s="88"/>
      <c r="G21" s="88"/>
      <c r="H21" s="88"/>
      <c r="I21" s="88"/>
      <c r="J21" s="49">
        <f>(0-J20)*($U$2/100)</f>
        <v>0</v>
      </c>
    </row>
    <row r="22" spans="1:10" s="17" customFormat="1" ht="18" customHeight="1">
      <c r="A22" s="10"/>
      <c r="C22" s="6"/>
      <c r="D22" s="70" t="str">
        <f>"SUPPORTO "&amp;Q2&amp;"  ("&amp;R2&amp;"%, minimo " &amp; S2&amp;" "&amp; M2&amp;")"</f>
        <v>SUPPORTO BUSINESS  (10%, minimo 250 €)</v>
      </c>
      <c r="E22" s="88"/>
      <c r="F22" s="88"/>
      <c r="G22" s="88"/>
      <c r="H22" s="88"/>
      <c r="I22" s="88"/>
      <c r="J22" s="49">
        <f>MAX(0.01*$R$2*(0+J20+J21),$S$2)</f>
        <v>264.26500000000004</v>
      </c>
    </row>
    <row r="23" spans="1:10" ht="16" customHeight="1">
      <c r="A23" s="10"/>
      <c r="B23" s="6"/>
      <c r="C23" s="6"/>
      <c r="D23" s="70" t="str">
        <f>"IMPORTO MENSILE con SUPPORTO escluso IVA in "&amp;N2</f>
        <v>IMPORTO MENSILE con SUPPORTO escluso IVA in EURO</v>
      </c>
      <c r="E23" s="88"/>
      <c r="F23" s="88"/>
      <c r="G23" s="88"/>
      <c r="H23" s="88"/>
      <c r="I23" s="88"/>
      <c r="J23" s="51">
        <f>J20+J21+J22</f>
        <v>2906.915</v>
      </c>
    </row>
    <row r="24" spans="1:10" ht="16" customHeight="1">
      <c r="A24" s="10"/>
      <c r="B24" s="6"/>
      <c r="C24" s="6"/>
      <c r="D24" s="70" t="str">
        <f>"IVA ("&amp;$P$2&amp;"%)"</f>
        <v>IVA (22%)</v>
      </c>
      <c r="E24" s="88"/>
      <c r="F24" s="88"/>
      <c r="G24" s="88"/>
      <c r="H24" s="88"/>
      <c r="I24" s="88"/>
      <c r="J24" s="89">
        <f>$P$2*J23/100</f>
        <v>639.5213</v>
      </c>
    </row>
    <row r="25" spans="1:10" ht="14" customHeight="1">
      <c r="A25" s="10"/>
      <c r="B25" s="6"/>
      <c r="C25" s="6"/>
      <c r="D25" s="70" t="s">
        <v>33</v>
      </c>
      <c r="E25" s="88"/>
      <c r="F25" s="88"/>
      <c r="G25" s="88"/>
      <c r="H25" s="88"/>
      <c r="I25" s="88"/>
      <c r="J25" s="18">
        <f>SUM(E17:E18)</f>
        <v>100000</v>
      </c>
    </row>
    <row r="26" spans="1:10" ht="14" customHeight="1">
      <c r="A26" s="10"/>
      <c r="B26" s="6"/>
      <c r="C26" s="6"/>
      <c r="D26" s="70"/>
      <c r="E26" s="88"/>
      <c r="F26" s="88"/>
      <c r="G26" s="88"/>
      <c r="H26" s="88"/>
      <c r="I26" s="88"/>
      <c r="J26" s="18"/>
    </row>
    <row r="27" spans="1:10" s="6" customFormat="1" ht="16" customHeight="1">
      <c r="A27" s="10"/>
      <c r="D27" s="70" t="str">
        <f>"IMPORTO Mensile incluso IVA e SUPPORTO in "&amp;N2</f>
        <v>IMPORTO Mensile incluso IVA e SUPPORTO in EURO</v>
      </c>
      <c r="E27" s="88"/>
      <c r="F27" s="88"/>
      <c r="G27" s="88"/>
      <c r="H27" s="88"/>
      <c r="I27" s="88"/>
      <c r="J27" s="49">
        <f>J23*(1+$P$2/100)</f>
        <v>3546.4362999999998</v>
      </c>
    </row>
    <row r="28" spans="1:10" s="6" customFormat="1" ht="14" customHeight="1">
      <c r="A28" s="10"/>
      <c r="D28" s="70" t="str">
        <f>"Spese d'installazione incluso IVA in "&amp;N2</f>
        <v>Spese d'installazione incluso IVA in EURO</v>
      </c>
      <c r="E28" s="88"/>
      <c r="F28" s="88"/>
      <c r="G28" s="88"/>
      <c r="H28" s="88"/>
      <c r="I28" s="88"/>
      <c r="J28" s="49">
        <f>J25*(1+$P$2/100)</f>
        <v>122000</v>
      </c>
    </row>
    <row r="29" spans="1:10" s="6" customFormat="1" ht="14" customHeight="1">
      <c r="A29" s="10"/>
      <c r="D29" s="70" t="str">
        <f>"BUDGET in "&amp;N2&amp;" escluso IVA ("&amp;$T$2&amp;" Mesi)"</f>
        <v>BUDGET in EURO escluso IVA (12 Mesi)</v>
      </c>
      <c r="E29" s="88"/>
      <c r="F29" s="88"/>
      <c r="G29" s="88"/>
      <c r="H29" s="88"/>
      <c r="I29" s="88"/>
      <c r="J29" s="38">
        <f>J23*$T$2+J25</f>
        <v>134882.97999999998</v>
      </c>
    </row>
    <row r="30" spans="1:10" s="6" customFormat="1" ht="15.5" customHeight="1">
      <c r="A30" s="10"/>
      <c r="D30" s="72" t="str">
        <f>"BUDGET in "&amp;N2&amp;" incluso IVA ("&amp;$T$2&amp;" Mesi) - "&amp;$O$2&amp;" "&amp;$P$2&amp;"%"</f>
        <v>BUDGET in EURO incluso IVA (12 Mesi) - IVA 22%</v>
      </c>
      <c r="E30" s="73"/>
      <c r="F30" s="73"/>
      <c r="G30" s="73"/>
      <c r="H30" s="73"/>
      <c r="I30" s="73"/>
      <c r="J30" s="50">
        <f>J29*(1+$P$2/100)</f>
        <v>164557.23559999999</v>
      </c>
    </row>
    <row r="31" spans="1:10" ht="14">
      <c r="A31" s="10"/>
      <c r="B31" s="6"/>
      <c r="C31" s="6"/>
    </row>
    <row r="32" spans="1:10" s="6" customFormat="1" ht="14">
      <c r="A32" s="39"/>
      <c r="C32" s="1"/>
      <c r="D32" s="3"/>
      <c r="E32" s="3"/>
      <c r="F32" s="3"/>
      <c r="G32" s="3"/>
      <c r="H32" s="3"/>
      <c r="I32" s="3"/>
      <c r="J32" s="4"/>
    </row>
    <row r="33" spans="1:10" ht="14">
      <c r="A33" s="24" t="s">
        <v>34</v>
      </c>
      <c r="B33" s="25"/>
      <c r="C33" s="25"/>
      <c r="D33" s="25"/>
      <c r="E33" s="25"/>
      <c r="F33" s="25"/>
      <c r="G33" s="25"/>
      <c r="H33" s="25"/>
      <c r="I33" s="25"/>
      <c r="J33" s="26"/>
    </row>
    <row r="34" spans="1:10" ht="14">
      <c r="A34" s="114"/>
      <c r="B34" s="115"/>
      <c r="C34" s="95"/>
      <c r="D34" s="95"/>
      <c r="E34" s="95"/>
      <c r="F34" s="95"/>
      <c r="G34" s="95"/>
      <c r="H34" s="95"/>
      <c r="I34" s="95"/>
      <c r="J34" s="96"/>
    </row>
    <row r="35" spans="1:10" ht="15">
      <c r="A35" s="97"/>
      <c r="B35" s="98" t="s">
        <v>35</v>
      </c>
      <c r="C35" s="99" t="s">
        <v>38</v>
      </c>
      <c r="D35" s="99"/>
      <c r="E35" s="99"/>
      <c r="F35" s="99"/>
      <c r="G35" s="99"/>
      <c r="H35" s="99"/>
      <c r="I35" s="99"/>
      <c r="J35" s="100"/>
    </row>
    <row r="36" spans="1:10" ht="15">
      <c r="A36" s="101"/>
      <c r="B36" s="94" t="s">
        <v>36</v>
      </c>
      <c r="C36" s="65" t="s">
        <v>39</v>
      </c>
      <c r="D36" s="65"/>
      <c r="E36" s="65"/>
      <c r="F36" s="65"/>
      <c r="G36" s="65"/>
      <c r="H36" s="65"/>
      <c r="I36" s="65"/>
      <c r="J36" s="102"/>
    </row>
    <row r="37" spans="1:10" ht="15">
      <c r="A37" s="103"/>
      <c r="B37" s="104" t="s">
        <v>37</v>
      </c>
      <c r="C37" s="105" t="s">
        <v>40</v>
      </c>
      <c r="D37" s="105"/>
      <c r="E37" s="105"/>
      <c r="F37" s="105"/>
      <c r="G37" s="105"/>
      <c r="H37" s="105"/>
      <c r="I37" s="105"/>
      <c r="J37" s="106"/>
    </row>
    <row r="38" spans="1:10" ht="14">
      <c r="A38" s="75"/>
      <c r="B38" s="76"/>
      <c r="C38" s="6"/>
    </row>
    <row r="39" spans="1:10" ht="21">
      <c r="A39" s="85" t="s">
        <v>47</v>
      </c>
      <c r="B39" s="86"/>
      <c r="C39" s="87"/>
      <c r="D39" s="87"/>
      <c r="E39" s="87"/>
      <c r="F39" s="87"/>
      <c r="G39" s="87"/>
      <c r="H39" s="87"/>
      <c r="I39" s="87"/>
      <c r="J39" s="87"/>
    </row>
    <row r="40" spans="1:10">
      <c r="A40" s="59" t="s">
        <v>48</v>
      </c>
      <c r="B40" s="35"/>
      <c r="C40" s="36"/>
    </row>
    <row r="41" spans="1:10">
      <c r="A41" s="60" t="s">
        <v>49</v>
      </c>
      <c r="B41" s="35"/>
      <c r="C41" s="36"/>
    </row>
    <row r="42" spans="1:10">
      <c r="A42" s="60"/>
      <c r="B42" s="35"/>
      <c r="C42" s="36"/>
    </row>
    <row r="43" spans="1:10" ht="14">
      <c r="A43" s="76"/>
      <c r="B43" s="76"/>
      <c r="C43" s="32"/>
    </row>
    <row r="44" spans="1:10">
      <c r="A44" s="93"/>
      <c r="B44" s="93"/>
      <c r="C44" s="93"/>
      <c r="D44" s="93"/>
      <c r="E44" s="93"/>
      <c r="F44" s="93"/>
      <c r="G44" s="93"/>
      <c r="H44" s="93"/>
      <c r="I44" s="93"/>
      <c r="J44" s="93"/>
    </row>
    <row r="45" spans="1:10">
      <c r="A45" s="23"/>
      <c r="C45" s="23"/>
    </row>
    <row r="46" spans="1:10" ht="15">
      <c r="A46" s="1" t="s">
        <v>50</v>
      </c>
      <c r="B46" s="23"/>
      <c r="D46" s="66" t="s">
        <v>41</v>
      </c>
      <c r="E46" s="67"/>
      <c r="F46" s="67"/>
      <c r="G46" s="67"/>
      <c r="H46" s="67"/>
      <c r="I46" s="67"/>
      <c r="J46" s="71"/>
    </row>
    <row r="47" spans="1:10" ht="14">
      <c r="D47" s="10" t="s">
        <v>42</v>
      </c>
      <c r="E47" s="6"/>
      <c r="F47" s="6"/>
      <c r="G47" s="6"/>
      <c r="H47" s="6"/>
      <c r="I47" s="6"/>
      <c r="J47" s="7"/>
    </row>
    <row r="48" spans="1:10" ht="14">
      <c r="D48" s="5"/>
      <c r="F48" s="6"/>
      <c r="G48" s="6"/>
      <c r="H48" s="6"/>
      <c r="I48" s="6"/>
      <c r="J48" s="7"/>
    </row>
    <row r="49" spans="1:10" ht="14">
      <c r="D49" s="10" t="s">
        <v>43</v>
      </c>
      <c r="E49" s="6"/>
      <c r="F49" s="6"/>
      <c r="G49" s="6"/>
      <c r="H49" s="6"/>
      <c r="I49" s="6"/>
      <c r="J49" s="7"/>
    </row>
    <row r="50" spans="1:10" ht="14">
      <c r="D50" s="10"/>
      <c r="E50" s="6"/>
      <c r="F50" s="6"/>
      <c r="G50" s="6"/>
      <c r="H50" s="6"/>
      <c r="I50" s="6"/>
      <c r="J50" s="7"/>
    </row>
    <row r="51" spans="1:10" ht="14">
      <c r="D51" s="12" t="s">
        <v>44</v>
      </c>
      <c r="E51" s="15"/>
      <c r="F51" s="6"/>
      <c r="G51" s="6"/>
      <c r="H51" s="6"/>
      <c r="I51" s="6"/>
      <c r="J51" s="7"/>
    </row>
    <row r="52" spans="1:10" ht="14">
      <c r="D52" s="12"/>
      <c r="E52" s="15"/>
      <c r="F52" s="6"/>
      <c r="G52" s="6"/>
      <c r="H52" s="6"/>
      <c r="I52" s="6"/>
      <c r="J52" s="7"/>
    </row>
    <row r="53" spans="1:10" ht="14">
      <c r="D53" s="10" t="s">
        <v>45</v>
      </c>
      <c r="E53" s="6"/>
      <c r="F53" s="6"/>
      <c r="G53" s="6"/>
      <c r="H53" s="6"/>
      <c r="I53" s="6"/>
      <c r="J53" s="7"/>
    </row>
    <row r="54" spans="1:10" ht="14">
      <c r="D54" s="10"/>
      <c r="E54" s="6"/>
      <c r="F54" s="6"/>
      <c r="G54" s="6"/>
      <c r="H54" s="6"/>
      <c r="I54" s="6"/>
      <c r="J54" s="7"/>
    </row>
    <row r="55" spans="1:10" ht="14">
      <c r="D55" s="10"/>
      <c r="E55" s="6"/>
      <c r="F55" s="6"/>
      <c r="G55" s="6"/>
      <c r="H55" s="6"/>
      <c r="I55" s="6"/>
      <c r="J55" s="7"/>
    </row>
    <row r="56" spans="1:10" ht="14">
      <c r="A56" s="61"/>
      <c r="B56" s="35"/>
      <c r="C56" s="36"/>
      <c r="D56" s="10"/>
      <c r="E56" s="6"/>
      <c r="F56" s="6"/>
      <c r="G56" s="6"/>
      <c r="H56" s="6"/>
      <c r="I56" s="6"/>
      <c r="J56" s="7"/>
    </row>
    <row r="57" spans="1:10" ht="14">
      <c r="A57" s="63"/>
      <c r="B57" s="35"/>
      <c r="C57" s="36"/>
      <c r="D57" s="10"/>
      <c r="E57" s="6"/>
      <c r="F57" s="6"/>
      <c r="G57" s="6"/>
      <c r="H57" s="6"/>
      <c r="I57" s="6"/>
      <c r="J57" s="7"/>
    </row>
    <row r="58" spans="1:10" ht="14">
      <c r="A58" s="62"/>
      <c r="B58" s="35"/>
      <c r="C58" s="36"/>
      <c r="D58" s="11"/>
      <c r="E58" s="8"/>
      <c r="F58" s="8"/>
      <c r="G58" s="8"/>
      <c r="H58" s="8"/>
      <c r="I58" s="8"/>
      <c r="J58" s="9"/>
    </row>
    <row r="59" spans="1:10">
      <c r="A59" s="63"/>
      <c r="B59" s="35"/>
      <c r="C59" s="36"/>
      <c r="D59" s="1" t="s">
        <v>46</v>
      </c>
    </row>
    <row r="60" spans="1:10">
      <c r="A60" s="61"/>
      <c r="B60" s="35"/>
      <c r="C60" s="36"/>
    </row>
    <row r="61" spans="1:10">
      <c r="A61" s="63"/>
      <c r="B61" s="35"/>
      <c r="C61" s="36"/>
    </row>
    <row r="62" spans="1:10">
      <c r="A62" s="62"/>
      <c r="B62" s="35"/>
      <c r="C62" s="36"/>
    </row>
    <row r="63" spans="1:10">
      <c r="A63" s="63"/>
      <c r="B63" s="35"/>
      <c r="C63" s="36"/>
    </row>
    <row r="64" spans="1:10">
      <c r="A64" s="61"/>
      <c r="B64" s="35"/>
      <c r="C64" s="36"/>
    </row>
    <row r="65" spans="1:3">
      <c r="A65" s="63"/>
      <c r="B65" s="35"/>
      <c r="C65" s="36"/>
    </row>
    <row r="66" spans="1:3">
      <c r="A66" s="62"/>
      <c r="B66" s="35"/>
      <c r="C66" s="36"/>
    </row>
    <row r="67" spans="1:3">
      <c r="A67" s="63"/>
      <c r="B67" s="35"/>
      <c r="C67" s="36"/>
    </row>
    <row r="68" spans="1:3">
      <c r="A68" s="61"/>
      <c r="B68" s="35"/>
      <c r="C68" s="36"/>
    </row>
    <row r="69" spans="1:3">
      <c r="A69" s="63"/>
      <c r="B69" s="35"/>
      <c r="C69" s="36"/>
    </row>
    <row r="70" spans="1:3">
      <c r="A70" s="62"/>
      <c r="B70" s="35"/>
      <c r="C70" s="36"/>
    </row>
    <row r="71" spans="1:3">
      <c r="A71" s="63"/>
      <c r="B71" s="35"/>
      <c r="C71" s="36"/>
    </row>
    <row r="72" spans="1:3">
      <c r="A72" s="61"/>
      <c r="B72" s="35"/>
      <c r="C72" s="36"/>
    </row>
    <row r="73" spans="1:3">
      <c r="A73" s="63"/>
      <c r="B73" s="35"/>
      <c r="C73" s="36"/>
    </row>
    <row r="74" spans="1:3">
      <c r="A74" s="62"/>
      <c r="B74" s="35"/>
      <c r="C74" s="36"/>
    </row>
    <row r="75" spans="1:3">
      <c r="A75" s="63"/>
      <c r="B75" s="35"/>
      <c r="C75" s="36"/>
    </row>
    <row r="76" spans="1:3">
      <c r="A76" s="61"/>
      <c r="B76" s="35"/>
      <c r="C76" s="36"/>
    </row>
    <row r="77" spans="1:3">
      <c r="A77" s="63"/>
      <c r="B77" s="35"/>
      <c r="C77" s="36"/>
    </row>
    <row r="78" spans="1:3">
      <c r="A78" s="62"/>
      <c r="B78" s="35"/>
      <c r="C78" s="36"/>
    </row>
    <row r="79" spans="1:3">
      <c r="A79" s="63"/>
      <c r="B79" s="35"/>
      <c r="C79" s="36"/>
    </row>
    <row r="80" spans="1:3">
      <c r="A80" s="61"/>
      <c r="B80" s="35"/>
      <c r="C80" s="36"/>
    </row>
    <row r="81" spans="1:3">
      <c r="A81" s="63"/>
      <c r="B81" s="35"/>
      <c r="C81" s="36"/>
    </row>
    <row r="82" spans="1:3">
      <c r="A82" s="62"/>
      <c r="B82" s="35"/>
      <c r="C82" s="36"/>
    </row>
    <row r="83" spans="1:3">
      <c r="A83" s="63"/>
      <c r="B83" s="35"/>
      <c r="C83" s="36"/>
    </row>
    <row r="84" spans="1:3">
      <c r="A84" s="61"/>
      <c r="B84" s="35"/>
      <c r="C84" s="36"/>
    </row>
    <row r="85" spans="1:3">
      <c r="A85" s="63"/>
    </row>
    <row r="86" spans="1:3">
      <c r="A86" s="62"/>
    </row>
    <row r="87" spans="1:3" ht="15" customHeight="1">
      <c r="A87" s="63"/>
    </row>
    <row r="88" spans="1:3" ht="15" customHeight="1">
      <c r="A88" s="61"/>
    </row>
    <row r="89" spans="1:3">
      <c r="A89" s="63"/>
    </row>
    <row r="90" spans="1:3" ht="16" customHeight="1">
      <c r="A90" s="62"/>
    </row>
    <row r="91" spans="1:3" ht="15" customHeight="1">
      <c r="A91" s="63"/>
    </row>
    <row r="92" spans="1:3" ht="15" customHeight="1">
      <c r="A92" s="61"/>
    </row>
    <row r="93" spans="1:3" ht="15" customHeight="1">
      <c r="A93" s="63"/>
    </row>
    <row r="94" spans="1:3" ht="15" customHeight="1">
      <c r="A94" s="62"/>
    </row>
    <row r="95" spans="1:3" ht="15" customHeight="1">
      <c r="A95" s="63"/>
    </row>
    <row r="96" spans="1:3">
      <c r="A96" s="61"/>
    </row>
    <row r="97" spans="1:1">
      <c r="A97" s="63"/>
    </row>
    <row r="98" spans="1:1">
      <c r="A98" s="62"/>
    </row>
    <row r="99" spans="1:1">
      <c r="A99" s="63"/>
    </row>
    <row r="100" spans="1:1">
      <c r="A100" s="61"/>
    </row>
  </sheetData>
  <mergeCells count="12">
    <mergeCell ref="D12:F12"/>
    <mergeCell ref="G5:J5"/>
    <mergeCell ref="G7:J7"/>
    <mergeCell ref="A9:B9"/>
    <mergeCell ref="D9:J9"/>
    <mergeCell ref="D10:J10"/>
    <mergeCell ref="D11:G11"/>
    <mergeCell ref="A34:B34"/>
    <mergeCell ref="D13:J13"/>
    <mergeCell ref="A16:J16"/>
    <mergeCell ref="A15:D15"/>
    <mergeCell ref="A17:D17"/>
  </mergeCells>
  <phoneticPr fontId="39" type="noConversion"/>
  <printOptions horizontalCentered="1"/>
  <pageMargins left="0.23622047244094491" right="0.23622047244094491" top="0.74803149606299213" bottom="0.74803149606299213" header="0.31496062992125984" footer="0.31496062992125984"/>
  <pageSetup paperSize="8" scale="6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3f931156-b907-4802-85d4-da78b74d2c50">ZQWJEHJ6PPKV-702331974-10646</_dlc_DocId>
    <_dlc_DocIdUrl xmlns="3f931156-b907-4802-85d4-da78b74d2c50">
      <Url>https://sharepoint.corp.ovh.com/cdmo/_layouts/15/DocIdRedir.aspx?ID=ZQWJEHJ6PPKV-702331974-10646</Url>
      <Description>ZQWJEHJ6PPKV-702331974-10646</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A8208FA2715C64A841634F2D9D0061C" ma:contentTypeVersion="2" ma:contentTypeDescription="Create a new document." ma:contentTypeScope="" ma:versionID="e0142632bfc745cbd3590bc04c866e52">
  <xsd:schema xmlns:xsd="http://www.w3.org/2001/XMLSchema" xmlns:xs="http://www.w3.org/2001/XMLSchema" xmlns:p="http://schemas.microsoft.com/office/2006/metadata/properties" xmlns:ns2="3f931156-b907-4802-85d4-da78b74d2c50" targetNamespace="http://schemas.microsoft.com/office/2006/metadata/properties" ma:root="true" ma:fieldsID="52bad56f1cedf5a7e96bfe3d7dae91ef" ns2:_="">
    <xsd:import namespace="3f931156-b907-4802-85d4-da78b74d2c50"/>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931156-b907-4802-85d4-da78b74d2c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A2FDBE-E304-4784-B8F6-4B5BC2D4BFC5}">
  <ds:schemaRefs>
    <ds:schemaRef ds:uri="http://schemas.microsoft.com/sharepoint/events"/>
  </ds:schemaRefs>
</ds:datastoreItem>
</file>

<file path=customXml/itemProps2.xml><?xml version="1.0" encoding="utf-8"?>
<ds:datastoreItem xmlns:ds="http://schemas.openxmlformats.org/officeDocument/2006/customXml" ds:itemID="{36F60EC0-34C7-430C-980D-5238BA26FB73}">
  <ds:schemaRefs>
    <ds:schemaRef ds:uri="http://schemas.microsoft.com/office/2006/metadata/properties"/>
    <ds:schemaRef ds:uri="http://schemas.microsoft.com/office/infopath/2007/PartnerControls"/>
    <ds:schemaRef ds:uri="3f931156-b907-4802-85d4-da78b74d2c50"/>
  </ds:schemaRefs>
</ds:datastoreItem>
</file>

<file path=customXml/itemProps3.xml><?xml version="1.0" encoding="utf-8"?>
<ds:datastoreItem xmlns:ds="http://schemas.openxmlformats.org/officeDocument/2006/customXml" ds:itemID="{FDAB445C-65E8-4095-B725-2E676BF1AE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931156-b907-4802-85d4-da78b74d2c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A46BBF6-FA99-4790-AC05-0112DDF87C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quote</vt:lpstr>
      <vt:lpstr>quote!Print_Area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OVHCLOUD</dc:creator>
  <cp:keywords/>
  <dc:description/>
  <cp:lastModifiedBy>Thomas Ducrot</cp:lastModifiedBy>
  <cp:revision/>
  <dcterms:created xsi:type="dcterms:W3CDTF">2008-09-09T10:13:56Z</dcterms:created>
  <dcterms:modified xsi:type="dcterms:W3CDTF">2025-12-12T15:26:44Z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0x0101009A8208FA2715C64A841634F2D9D0061C</vt:lpwstr>
  </property>
  <property fmtid="{D5CDD505-2E9C-101B-9397-08002B2CF9AE}" pid="3" name="_dlc_DocIdItemGuid">
    <vt:lpwstr>252a29f9-7ae5-4f2b-b46b-d58e62ada416</vt:lpwstr>
  </property>
</Properties>
</file>